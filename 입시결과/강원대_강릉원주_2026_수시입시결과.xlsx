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가. 업무자료\03. 2026 업무\04. 홈페이지 관리\04. 업로드 자료\01. 성적자료 업로드\"/>
    </mc:Choice>
  </mc:AlternateContent>
  <xr:revisionPtr revIDLastSave="0" documentId="13_ncr:1_{834F5306-F760-4D03-A52F-BA03F85A2472}" xr6:coauthVersionLast="47" xr6:coauthVersionMax="47" xr10:uidLastSave="{00000000-0000-0000-0000-000000000000}"/>
  <bookViews>
    <workbookView xWindow="28680" yWindow="-120" windowWidth="29040" windowHeight="15720" tabRatio="920" xr2:uid="{00000000-000D-0000-FFFF-FFFF00000000}"/>
  </bookViews>
  <sheets>
    <sheet name="미래인재서류" sheetId="3" r:id="rId1"/>
    <sheet name="미래인재면접" sheetId="18" r:id="rId2"/>
    <sheet name="지역인재서류" sheetId="8" r:id="rId3"/>
    <sheet name="기회균형" sheetId="4" r:id="rId4"/>
    <sheet name="기회균형면접" sheetId="19" r:id="rId5"/>
    <sheet name="일반교과" sheetId="1" r:id="rId6"/>
    <sheet name="지역교과" sheetId="2" r:id="rId7"/>
    <sheet name="저소득-지역교과" sheetId="15" r:id="rId8"/>
    <sheet name="실기" sheetId="11" r:id="rId9"/>
    <sheet name="종합_농어촌학생" sheetId="13" r:id="rId10"/>
    <sheet name="교과_농어촌학생" sheetId="6" r:id="rId11"/>
    <sheet name="특성화고교졸업자(특성화고)" sheetId="10" r:id="rId12"/>
    <sheet name="저소득(교과)" sheetId="5" r:id="rId13"/>
    <sheet name="특수교육대상자(특수교육대상)" sheetId="9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" i="9" l="1"/>
  <c r="F26" i="5"/>
  <c r="F23" i="5"/>
  <c r="F19" i="5"/>
  <c r="F9" i="5"/>
  <c r="F4" i="5"/>
  <c r="F4" i="10"/>
  <c r="F35" i="6"/>
  <c r="F28" i="6"/>
  <c r="F23" i="6"/>
  <c r="F4" i="6"/>
  <c r="F4" i="18"/>
  <c r="V12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6" authorId="0" shapeId="0" xr:uid="{D192EB81-8837-4B99-982A-D273F7D95CE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명은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검정고시라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성적없음</t>
        </r>
      </text>
    </comment>
  </commentList>
</comments>
</file>

<file path=xl/sharedStrings.xml><?xml version="1.0" encoding="utf-8"?>
<sst xmlns="http://schemas.openxmlformats.org/spreadsheetml/2006/main" count="1289" uniqueCount="134">
  <si>
    <t>최초합격자 성적현황</t>
  </si>
  <si>
    <t>최종등록자 성적현황</t>
  </si>
  <si>
    <t>단과대학</t>
  </si>
  <si>
    <t>모집단위</t>
  </si>
  <si>
    <t>평균내신등급</t>
  </si>
  <si>
    <t>총점</t>
  </si>
  <si>
    <t>평균</t>
  </si>
  <si>
    <t>표준편차</t>
  </si>
  <si>
    <t>50%컷</t>
  </si>
  <si>
    <t>75%컷</t>
  </si>
  <si>
    <t>최고등급</t>
  </si>
  <si>
    <t>최저등급</t>
  </si>
  <si>
    <t>최고점수</t>
  </si>
  <si>
    <t>최저점수</t>
  </si>
  <si>
    <t>인문대학</t>
  </si>
  <si>
    <t>국어국문학과</t>
  </si>
  <si>
    <t>영어영문학과</t>
  </si>
  <si>
    <t>중어중문학과</t>
  </si>
  <si>
    <t>일본학과</t>
  </si>
  <si>
    <t>철학과</t>
  </si>
  <si>
    <t>사학과</t>
  </si>
  <si>
    <t>인문대학자유전공학과</t>
  </si>
  <si>
    <t>사회과학대학</t>
  </si>
  <si>
    <t>경영학과</t>
  </si>
  <si>
    <t>회계학과</t>
  </si>
  <si>
    <t>관광경영학과</t>
  </si>
  <si>
    <t>경제학과</t>
  </si>
  <si>
    <t>무역학과</t>
  </si>
  <si>
    <t>국제통상학과</t>
  </si>
  <si>
    <t>도시계획·부동산학과</t>
  </si>
  <si>
    <t>자치행정학과</t>
  </si>
  <si>
    <t>자연과학대학</t>
  </si>
  <si>
    <t>데이터사이언스학과</t>
  </si>
  <si>
    <t>대기환경과학과</t>
  </si>
  <si>
    <t>화학신소재학과</t>
  </si>
  <si>
    <t>생명과학과</t>
  </si>
  <si>
    <t>자연과학대학자유전공학과</t>
  </si>
  <si>
    <t>생명과학대학</t>
  </si>
  <si>
    <t>식품영양학과</t>
  </si>
  <si>
    <t>해양융합과학과</t>
  </si>
  <si>
    <t>수산생명의학과</t>
  </si>
  <si>
    <t>식물생명과학과</t>
  </si>
  <si>
    <t>환경조경학과</t>
  </si>
  <si>
    <t>생명과학대학자유전공학과</t>
  </si>
  <si>
    <t>공과대학</t>
  </si>
  <si>
    <t>예술체육대학</t>
  </si>
  <si>
    <t>조형예술·디자인학과</t>
  </si>
  <si>
    <t>음악학과</t>
  </si>
  <si>
    <t>패션디자인학과</t>
  </si>
  <si>
    <t>치과대학</t>
  </si>
  <si>
    <t>치위생학과</t>
  </si>
  <si>
    <t>보건복지대학</t>
  </si>
  <si>
    <t>유아교육과</t>
  </si>
  <si>
    <t>간호학과</t>
  </si>
  <si>
    <t>사회복지학과</t>
  </si>
  <si>
    <t>다문화학과</t>
  </si>
  <si>
    <t>디지털미디어커뮤니케이션학과</t>
  </si>
  <si>
    <t>과학기술대학</t>
  </si>
  <si>
    <t>AI콘텐츠공학과</t>
  </si>
  <si>
    <t>전기공학과</t>
  </si>
  <si>
    <t>정보통신공학과</t>
  </si>
  <si>
    <t>산업경영공학과</t>
  </si>
  <si>
    <t>자유전공학부</t>
  </si>
  <si>
    <t>IT대학</t>
  </si>
  <si>
    <t>컴퓨터공학과</t>
  </si>
  <si>
    <t>문화예술·공과대학</t>
  </si>
  <si>
    <t>기계융합공학부</t>
  </si>
  <si>
    <t>치의예과</t>
  </si>
  <si>
    <t>체육학과</t>
  </si>
  <si>
    <t>2026학년도 지원 및 등록현황</t>
    <phoneticPr fontId="8" type="noConversion"/>
  </si>
  <si>
    <t>모집인원</t>
    <phoneticPr fontId="8" type="noConversion"/>
  </si>
  <si>
    <t>지원자</t>
    <phoneticPr fontId="8" type="noConversion"/>
  </si>
  <si>
    <t>경쟁률</t>
    <phoneticPr fontId="8" type="noConversion"/>
  </si>
  <si>
    <t>최저기준
충족인원</t>
    <phoneticPr fontId="8" type="noConversion"/>
  </si>
  <si>
    <t>최종등록
인원</t>
    <phoneticPr fontId="8" type="noConversion"/>
  </si>
  <si>
    <t>합격자최종
후보순위</t>
    <phoneticPr fontId="8" type="noConversion"/>
  </si>
  <si>
    <t>2027학년도모집인원</t>
    <phoneticPr fontId="7" type="noConversion"/>
  </si>
  <si>
    <t>미반영</t>
  </si>
  <si>
    <t>2026학년도 지원 및 등록 현황</t>
    <phoneticPr fontId="8" type="noConversion"/>
  </si>
  <si>
    <t>2027학년도
모집인원</t>
    <phoneticPr fontId="8" type="noConversion"/>
  </si>
  <si>
    <t>치의예과</t>
    <phoneticPr fontId="7" type="noConversion"/>
  </si>
  <si>
    <t>미반영</t>
    <phoneticPr fontId="8" type="noConversion"/>
  </si>
  <si>
    <t>체육학과(특기자)</t>
    <phoneticPr fontId="7" type="noConversion"/>
  </si>
  <si>
    <t>회계학과</t>
    <phoneticPr fontId="7" type="noConversion"/>
  </si>
  <si>
    <t>자치행정학과</t>
    <phoneticPr fontId="7" type="noConversion"/>
  </si>
  <si>
    <t>무역학과</t>
    <phoneticPr fontId="7" type="noConversion"/>
  </si>
  <si>
    <t>데이터사이언스학과</t>
    <phoneticPr fontId="7" type="noConversion"/>
  </si>
  <si>
    <t>식품영양학과</t>
    <phoneticPr fontId="7" type="noConversion"/>
  </si>
  <si>
    <t>정보통신공학과</t>
    <phoneticPr fontId="7" type="noConversion"/>
  </si>
  <si>
    <t>문화예술공과대학</t>
    <phoneticPr fontId="7" type="noConversion"/>
  </si>
  <si>
    <t>기계융합공학부</t>
    <phoneticPr fontId="7" type="noConversion"/>
  </si>
  <si>
    <t>면접고사현황</t>
    <phoneticPr fontId="7" type="noConversion"/>
  </si>
  <si>
    <t>면접대상</t>
    <phoneticPr fontId="7" type="noConversion"/>
  </si>
  <si>
    <t>결시인원</t>
    <phoneticPr fontId="7" type="noConversion"/>
  </si>
  <si>
    <t>평균</t>
    <phoneticPr fontId="7" type="noConversion"/>
  </si>
  <si>
    <t>표준편차</t>
    <phoneticPr fontId="7" type="noConversion"/>
  </si>
  <si>
    <t>최고점</t>
    <phoneticPr fontId="7" type="noConversion"/>
  </si>
  <si>
    <t>최저점</t>
    <phoneticPr fontId="7" type="noConversion"/>
  </si>
  <si>
    <t>중어중문학과</t>
    <phoneticPr fontId="7" type="noConversion"/>
  </si>
  <si>
    <t>철학과</t>
    <phoneticPr fontId="7" type="noConversion"/>
  </si>
  <si>
    <t>화학신소재학과</t>
    <phoneticPr fontId="7" type="noConversion"/>
  </si>
  <si>
    <t>생명과학과</t>
    <phoneticPr fontId="7" type="noConversion"/>
  </si>
  <si>
    <t>환경조경학과</t>
    <phoneticPr fontId="7" type="noConversion"/>
  </si>
  <si>
    <t>일본학과</t>
    <phoneticPr fontId="7" type="noConversion"/>
  </si>
  <si>
    <t>경영학과</t>
    <phoneticPr fontId="7" type="noConversion"/>
  </si>
  <si>
    <t>식물생명과학과</t>
    <phoneticPr fontId="7" type="noConversion"/>
  </si>
  <si>
    <t>생명과학대학</t>
    <phoneticPr fontId="7" type="noConversion"/>
  </si>
  <si>
    <t>다문화학과</t>
    <phoneticPr fontId="7" type="noConversion"/>
  </si>
  <si>
    <t>산업경영공학과</t>
    <phoneticPr fontId="7" type="noConversion"/>
  </si>
  <si>
    <t>미반영</t>
    <phoneticPr fontId="7" type="noConversion"/>
  </si>
  <si>
    <t>정책학과</t>
    <phoneticPr fontId="7" type="noConversion"/>
  </si>
  <si>
    <t>인문대학</t>
    <phoneticPr fontId="7" type="noConversion"/>
  </si>
  <si>
    <t>과학기술대학</t>
    <phoneticPr fontId="7" type="noConversion"/>
  </si>
  <si>
    <t>2026학년도 최초합격자 성적현황</t>
    <phoneticPr fontId="7" type="noConversion"/>
  </si>
  <si>
    <t>면접고사현황(80점 만점)</t>
    <phoneticPr fontId="7" type="noConversion"/>
  </si>
  <si>
    <t>총점(120점만점)</t>
    <phoneticPr fontId="7" type="noConversion"/>
  </si>
  <si>
    <t>2026학년도최종등록자 성적현황</t>
    <phoneticPr fontId="7" type="noConversion"/>
  </si>
  <si>
    <t>2026학년도 최종등록자 성적현황</t>
    <phoneticPr fontId="7" type="noConversion"/>
  </si>
  <si>
    <t>총점(200점 만점)</t>
    <phoneticPr fontId="7" type="noConversion"/>
  </si>
  <si>
    <t>총점(120점 만점)</t>
    <phoneticPr fontId="7" type="noConversion"/>
  </si>
  <si>
    <t>총점(1,000점)</t>
    <phoneticPr fontId="7" type="noConversion"/>
  </si>
  <si>
    <t>총점(200점)</t>
    <phoneticPr fontId="7" type="noConversion"/>
  </si>
  <si>
    <t>총점(1,000점 만점)</t>
    <phoneticPr fontId="7" type="noConversion"/>
  </si>
  <si>
    <t>총점(1,600점 만점)</t>
    <phoneticPr fontId="7" type="noConversion"/>
  </si>
  <si>
    <t>수학물리학부
(수학전공/물리·에너지전공)</t>
    <phoneticPr fontId="7" type="noConversion"/>
  </si>
  <si>
    <t>전자·반도체공학부
(전자공학전공/반도체공학전공)</t>
    <phoneticPr fontId="7" type="noConversion"/>
  </si>
  <si>
    <t>신소재·생명화학공학부
(세라믹신소재공학전공/
신소재금속공학전공/생명화학공학전공)</t>
    <phoneticPr fontId="7" type="noConversion"/>
  </si>
  <si>
    <t>건설환경공학부
(토목환경공학전공/스마트건설전공)</t>
    <phoneticPr fontId="7" type="noConversion"/>
  </si>
  <si>
    <t>총점(1,100점 만점)</t>
    <phoneticPr fontId="7" type="noConversion"/>
  </si>
  <si>
    <t>AI 컨텐츠공학과</t>
    <phoneticPr fontId="7" type="noConversion"/>
  </si>
  <si>
    <t>관광경영학과</t>
    <phoneticPr fontId="7" type="noConversion"/>
  </si>
  <si>
    <t>최종등록자 실기 점수</t>
    <phoneticPr fontId="7" type="noConversion"/>
  </si>
  <si>
    <t>실기만점</t>
    <phoneticPr fontId="7" type="noConversion"/>
  </si>
  <si>
    <t>실기평균점수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</si>
</sst>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00"/>
    <numFmt numFmtId="177" formatCode="#,##0.0############"/>
    <numFmt numFmtId="178" formatCode="#,##0.0###########"/>
    <numFmt numFmtId="179" formatCode="#,##0.0#########"/>
    <numFmt numFmtId="180" formatCode="#,##0.0##"/>
    <numFmt numFmtId="181" formatCode="#,##0.0#"/>
  </numFmts>
  <fonts count="14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0"/>
      <color rgb="FF444444"/>
      <name val="undefined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0"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0" fontId="0" fillId="0" borderId="0" xfId="0" applyFill="1"/>
    <xf numFmtId="0" fontId="5" fillId="0" borderId="1" xfId="0" applyFont="1" applyFill="1" applyBorder="1" applyAlignment="1">
      <alignment horizontal="center" vertical="center"/>
    </xf>
    <xf numFmtId="0" fontId="0" fillId="0" borderId="1" xfId="0" applyFill="1" applyBorder="1"/>
    <xf numFmtId="0" fontId="4" fillId="0" borderId="1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0" fillId="0" borderId="0" xfId="0" applyFill="1"/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2" fontId="6" fillId="0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2" fontId="4" fillId="0" borderId="1" xfId="0" applyNumberFormat="1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2" fontId="0" fillId="0" borderId="0" xfId="0" applyNumberFormat="1" applyFill="1"/>
    <xf numFmtId="2" fontId="9" fillId="0" borderId="1" xfId="0" applyNumberFormat="1" applyFont="1" applyBorder="1" applyAlignment="1">
      <alignment vertical="center"/>
    </xf>
    <xf numFmtId="2" fontId="6" fillId="0" borderId="1" xfId="0" applyNumberFormat="1" applyFont="1" applyBorder="1" applyAlignment="1">
      <alignment horizontal="center" vertical="center"/>
    </xf>
    <xf numFmtId="2" fontId="0" fillId="0" borderId="1" xfId="0" applyNumberFormat="1" applyFill="1" applyBorder="1"/>
    <xf numFmtId="2" fontId="9" fillId="0" borderId="0" xfId="0" applyNumberFormat="1" applyFont="1" applyFill="1" applyAlignment="1">
      <alignment horizontal="center" vertical="center"/>
    </xf>
    <xf numFmtId="177" fontId="6" fillId="0" borderId="1" xfId="0" applyNumberFormat="1" applyFont="1" applyFill="1" applyBorder="1" applyAlignment="1">
      <alignment horizontal="center" vertical="center"/>
    </xf>
    <xf numFmtId="178" fontId="6" fillId="0" borderId="1" xfId="0" applyNumberFormat="1" applyFont="1" applyFill="1" applyBorder="1" applyAlignment="1">
      <alignment horizontal="center" vertical="center"/>
    </xf>
    <xf numFmtId="179" fontId="6" fillId="0" borderId="1" xfId="0" applyNumberFormat="1" applyFont="1" applyFill="1" applyBorder="1" applyAlignment="1">
      <alignment horizontal="center" vertical="center"/>
    </xf>
    <xf numFmtId="180" fontId="6" fillId="0" borderId="1" xfId="0" applyNumberFormat="1" applyFont="1" applyFill="1" applyBorder="1" applyAlignment="1">
      <alignment horizontal="center" vertical="center"/>
    </xf>
    <xf numFmtId="181" fontId="6" fillId="0" borderId="1" xfId="0" applyNumberFormat="1" applyFont="1" applyFill="1" applyBorder="1" applyAlignment="1">
      <alignment horizontal="center" vertical="center"/>
    </xf>
    <xf numFmtId="178" fontId="13" fillId="0" borderId="1" xfId="0" applyNumberFormat="1" applyFont="1" applyFill="1" applyBorder="1" applyAlignment="1">
      <alignment horizontal="center" vertical="center" wrapText="1"/>
    </xf>
    <xf numFmtId="181" fontId="1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Fill="1" applyBorder="1"/>
    <xf numFmtId="0" fontId="4" fillId="0" borderId="2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5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2" fontId="4" fillId="0" borderId="11" xfId="0" applyNumberFormat="1" applyFont="1" applyBorder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/>
    </xf>
    <xf numFmtId="2" fontId="4" fillId="0" borderId="3" xfId="0" applyNumberFormat="1" applyFont="1" applyFill="1" applyBorder="1" applyAlignment="1">
      <alignment horizontal="center" vertical="center"/>
    </xf>
    <xf numFmtId="2" fontId="4" fillId="0" borderId="11" xfId="0" applyNumberFormat="1" applyFont="1" applyFill="1" applyBorder="1" applyAlignment="1">
      <alignment horizontal="center" vertical="center"/>
    </xf>
    <xf numFmtId="2" fontId="4" fillId="0" borderId="8" xfId="0" applyNumberFormat="1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/>
    </xf>
  </cellXfs>
  <cellStyles count="1">
    <cellStyle name="표준" xfId="0" builtinId="0"/>
  </cellStyles>
  <dxfs count="8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50"/>
  <sheetViews>
    <sheetView tabSelected="1" zoomScale="85" zoomScaleNormal="85" workbookViewId="0">
      <pane xSplit="2" ySplit="3" topLeftCell="C4" activePane="bottomRight" state="frozen"/>
      <selection pane="topRight"/>
      <selection pane="bottomLeft"/>
      <selection pane="bottomRight" activeCell="H19" sqref="H19"/>
    </sheetView>
  </sheetViews>
  <sheetFormatPr defaultRowHeight="16.5"/>
  <cols>
    <col min="1" max="1" width="14" style="15" customWidth="1"/>
    <col min="2" max="2" width="34.625" style="15" customWidth="1"/>
    <col min="3" max="3" width="11.125" style="15" customWidth="1"/>
    <col min="4" max="7" width="11.125" style="21" customWidth="1"/>
    <col min="8" max="8" width="9.625" style="21" customWidth="1"/>
    <col min="9" max="9" width="10.5" style="21" customWidth="1"/>
    <col min="10" max="33" width="11" style="21" customWidth="1"/>
    <col min="34" max="16384" width="9" style="21"/>
  </cols>
  <sheetData>
    <row r="1" spans="1:33">
      <c r="A1" s="67" t="s">
        <v>2</v>
      </c>
      <c r="B1" s="50" t="s">
        <v>3</v>
      </c>
      <c r="C1" s="49" t="s">
        <v>79</v>
      </c>
      <c r="D1" s="60" t="s">
        <v>78</v>
      </c>
      <c r="E1" s="61"/>
      <c r="F1" s="61"/>
      <c r="G1" s="61"/>
      <c r="H1" s="61"/>
      <c r="I1" s="62"/>
      <c r="J1" s="55" t="s">
        <v>113</v>
      </c>
      <c r="K1" s="56"/>
      <c r="L1" s="56"/>
      <c r="M1" s="56"/>
      <c r="N1" s="56"/>
      <c r="O1" s="56"/>
      <c r="P1" s="56"/>
      <c r="Q1" s="56"/>
      <c r="R1" s="56"/>
      <c r="S1" s="56"/>
      <c r="T1" s="56"/>
      <c r="U1" s="57"/>
      <c r="V1" s="55" t="s">
        <v>116</v>
      </c>
      <c r="W1" s="56"/>
      <c r="X1" s="56"/>
      <c r="Y1" s="56"/>
      <c r="Z1" s="56"/>
      <c r="AA1" s="56"/>
      <c r="AB1" s="56"/>
      <c r="AC1" s="56"/>
      <c r="AD1" s="56"/>
      <c r="AE1" s="56"/>
      <c r="AF1" s="56"/>
      <c r="AG1" s="57"/>
    </row>
    <row r="2" spans="1:33" ht="21.95" customHeight="1">
      <c r="A2" s="67"/>
      <c r="B2" s="50"/>
      <c r="C2" s="49"/>
      <c r="D2" s="63" t="s">
        <v>70</v>
      </c>
      <c r="E2" s="63" t="s">
        <v>71</v>
      </c>
      <c r="F2" s="63" t="s">
        <v>72</v>
      </c>
      <c r="G2" s="49" t="s">
        <v>73</v>
      </c>
      <c r="H2" s="49" t="s">
        <v>74</v>
      </c>
      <c r="I2" s="49" t="s">
        <v>75</v>
      </c>
      <c r="J2" s="52" t="s">
        <v>4</v>
      </c>
      <c r="K2" s="53"/>
      <c r="L2" s="53"/>
      <c r="M2" s="53"/>
      <c r="N2" s="53"/>
      <c r="O2" s="54"/>
      <c r="P2" s="55" t="s">
        <v>119</v>
      </c>
      <c r="Q2" s="53"/>
      <c r="R2" s="53"/>
      <c r="S2" s="53"/>
      <c r="T2" s="53"/>
      <c r="U2" s="54"/>
      <c r="V2" s="58" t="s">
        <v>4</v>
      </c>
      <c r="W2" s="59"/>
      <c r="X2" s="59"/>
      <c r="Y2" s="59"/>
      <c r="Z2" s="59"/>
      <c r="AA2" s="59"/>
      <c r="AB2" s="55" t="s">
        <v>119</v>
      </c>
      <c r="AC2" s="53"/>
      <c r="AD2" s="53"/>
      <c r="AE2" s="53"/>
      <c r="AF2" s="53"/>
      <c r="AG2" s="54"/>
    </row>
    <row r="3" spans="1:33" ht="21.95" customHeight="1">
      <c r="A3" s="68"/>
      <c r="B3" s="51"/>
      <c r="C3" s="49"/>
      <c r="D3" s="63"/>
      <c r="E3" s="63"/>
      <c r="F3" s="63"/>
      <c r="G3" s="49"/>
      <c r="H3" s="49"/>
      <c r="I3" s="49"/>
      <c r="J3" s="20" t="s">
        <v>6</v>
      </c>
      <c r="K3" s="20" t="s">
        <v>7</v>
      </c>
      <c r="L3" s="20" t="s">
        <v>10</v>
      </c>
      <c r="M3" s="20" t="s">
        <v>8</v>
      </c>
      <c r="N3" s="20" t="s">
        <v>9</v>
      </c>
      <c r="O3" s="20" t="s">
        <v>11</v>
      </c>
      <c r="P3" s="20" t="s">
        <v>6</v>
      </c>
      <c r="Q3" s="20" t="s">
        <v>7</v>
      </c>
      <c r="R3" s="20" t="s">
        <v>12</v>
      </c>
      <c r="S3" s="20" t="s">
        <v>8</v>
      </c>
      <c r="T3" s="20" t="s">
        <v>9</v>
      </c>
      <c r="U3" s="20" t="s">
        <v>13</v>
      </c>
      <c r="V3" s="20" t="s">
        <v>6</v>
      </c>
      <c r="W3" s="20" t="s">
        <v>7</v>
      </c>
      <c r="X3" s="20" t="s">
        <v>10</v>
      </c>
      <c r="Y3" s="20" t="s">
        <v>8</v>
      </c>
      <c r="Z3" s="20" t="s">
        <v>9</v>
      </c>
      <c r="AA3" s="20" t="s">
        <v>11</v>
      </c>
      <c r="AB3" s="20" t="s">
        <v>6</v>
      </c>
      <c r="AC3" s="20" t="s">
        <v>7</v>
      </c>
      <c r="AD3" s="20" t="s">
        <v>12</v>
      </c>
      <c r="AE3" s="20" t="s">
        <v>8</v>
      </c>
      <c r="AF3" s="20" t="s">
        <v>9</v>
      </c>
      <c r="AG3" s="20" t="s">
        <v>13</v>
      </c>
    </row>
    <row r="4" spans="1:33">
      <c r="A4" s="64" t="s">
        <v>14</v>
      </c>
      <c r="B4" s="23" t="s">
        <v>15</v>
      </c>
      <c r="C4" s="23">
        <v>6</v>
      </c>
      <c r="D4" s="23">
        <v>6</v>
      </c>
      <c r="E4" s="23">
        <v>44</v>
      </c>
      <c r="F4" s="31">
        <v>7.333333333333333</v>
      </c>
      <c r="G4" s="23" t="s">
        <v>77</v>
      </c>
      <c r="H4" s="23">
        <v>6</v>
      </c>
      <c r="I4" s="23">
        <v>0</v>
      </c>
      <c r="J4" s="24">
        <v>4.5908614301333337</v>
      </c>
      <c r="K4" s="24">
        <v>0.2576276937645165</v>
      </c>
      <c r="L4" s="24">
        <v>4.4234234234000001</v>
      </c>
      <c r="M4" s="24">
        <v>4.4955752212000002</v>
      </c>
      <c r="N4" s="24">
        <v>4.5530303029999999</v>
      </c>
      <c r="O4" s="24">
        <v>5.1078431372999997</v>
      </c>
      <c r="P4" s="24">
        <v>98.575000000000003</v>
      </c>
      <c r="Q4" s="24">
        <v>3.510662330672087</v>
      </c>
      <c r="R4" s="24">
        <v>105.6</v>
      </c>
      <c r="S4" s="24">
        <v>97.95</v>
      </c>
      <c r="T4" s="24">
        <v>96.9</v>
      </c>
      <c r="U4" s="24">
        <v>96.15</v>
      </c>
      <c r="V4" s="24">
        <v>4.5908614301333337</v>
      </c>
      <c r="W4" s="24">
        <v>0.2576276937645165</v>
      </c>
      <c r="X4" s="24">
        <v>4.4234234234000001</v>
      </c>
      <c r="Y4" s="24">
        <v>4.4955752212000002</v>
      </c>
      <c r="Z4" s="24">
        <v>4.5530303029999999</v>
      </c>
      <c r="AA4" s="24">
        <v>5.1078431372999997</v>
      </c>
      <c r="AB4" s="24">
        <v>98.575000000000003</v>
      </c>
      <c r="AC4" s="24">
        <v>3.510662330672087</v>
      </c>
      <c r="AD4" s="24">
        <v>105.6</v>
      </c>
      <c r="AE4" s="24">
        <v>97.95</v>
      </c>
      <c r="AF4" s="24">
        <v>96.9</v>
      </c>
      <c r="AG4" s="24">
        <v>96.15</v>
      </c>
    </row>
    <row r="5" spans="1:33">
      <c r="A5" s="66"/>
      <c r="B5" s="23" t="s">
        <v>16</v>
      </c>
      <c r="C5" s="23">
        <v>5</v>
      </c>
      <c r="D5" s="23">
        <v>6</v>
      </c>
      <c r="E5" s="27">
        <v>36</v>
      </c>
      <c r="F5" s="31">
        <v>6</v>
      </c>
      <c r="G5" s="23" t="s">
        <v>77</v>
      </c>
      <c r="H5" s="27">
        <v>6</v>
      </c>
      <c r="I5" s="33">
        <v>6</v>
      </c>
      <c r="J5" s="24">
        <v>4.8639304059999997</v>
      </c>
      <c r="K5" s="24">
        <v>0.71105525038094042</v>
      </c>
      <c r="L5" s="24">
        <v>3.9307692308000002</v>
      </c>
      <c r="M5" s="24">
        <v>5.1300813007999997</v>
      </c>
      <c r="N5" s="24">
        <v>5.3821138210999999</v>
      </c>
      <c r="O5" s="24">
        <v>5.4471544715000002</v>
      </c>
      <c r="P5" s="24">
        <v>105.05</v>
      </c>
      <c r="Q5" s="24">
        <v>3.9363688851529122</v>
      </c>
      <c r="R5" s="24">
        <v>108.45</v>
      </c>
      <c r="S5" s="24">
        <v>107.25</v>
      </c>
      <c r="T5" s="24">
        <v>101.7</v>
      </c>
      <c r="U5" s="24">
        <v>98.7</v>
      </c>
      <c r="V5" s="24">
        <v>4.9422929246833336</v>
      </c>
      <c r="W5" s="24">
        <v>1.2693972929838659</v>
      </c>
      <c r="X5" s="24">
        <v>3.49</v>
      </c>
      <c r="Y5" s="24">
        <v>4.3214285714000003</v>
      </c>
      <c r="Z5" s="24">
        <v>6.0476190475999996</v>
      </c>
      <c r="AA5" s="24">
        <v>6.7560975609999998</v>
      </c>
      <c r="AB5" s="24">
        <v>98.25</v>
      </c>
      <c r="AC5" s="24">
        <v>5.1526692111953007</v>
      </c>
      <c r="AD5" s="24">
        <v>108.45</v>
      </c>
      <c r="AE5" s="24">
        <v>97.65</v>
      </c>
      <c r="AF5" s="24">
        <v>95.4</v>
      </c>
      <c r="AG5" s="24">
        <v>94.8</v>
      </c>
    </row>
    <row r="6" spans="1:33">
      <c r="A6" s="66"/>
      <c r="B6" s="23" t="s">
        <v>17</v>
      </c>
      <c r="C6" s="23">
        <v>6</v>
      </c>
      <c r="D6" s="23">
        <v>6</v>
      </c>
      <c r="E6" s="27">
        <v>28</v>
      </c>
      <c r="F6" s="31">
        <v>4.666666666666667</v>
      </c>
      <c r="G6" s="23" t="s">
        <v>77</v>
      </c>
      <c r="H6" s="27">
        <v>5</v>
      </c>
      <c r="I6" s="33">
        <v>6</v>
      </c>
      <c r="J6" s="24">
        <v>5.0571009809833329</v>
      </c>
      <c r="K6" s="24">
        <v>0.67288241636770951</v>
      </c>
      <c r="L6" s="24">
        <v>4.2890625</v>
      </c>
      <c r="M6" s="24">
        <v>5.0309278351</v>
      </c>
      <c r="N6" s="24">
        <v>5.6504065041000002</v>
      </c>
      <c r="O6" s="24">
        <v>5.9145299145000001</v>
      </c>
      <c r="P6" s="24">
        <v>87.249999999999986</v>
      </c>
      <c r="Q6" s="24">
        <v>8.2451804103973387</v>
      </c>
      <c r="R6" s="24">
        <v>100.95</v>
      </c>
      <c r="S6" s="24">
        <v>87.15</v>
      </c>
      <c r="T6" s="24">
        <v>80.55</v>
      </c>
      <c r="U6" s="24">
        <v>79.2</v>
      </c>
      <c r="V6" s="24">
        <v>6.1018646639400007</v>
      </c>
      <c r="W6" s="24">
        <v>0.70725344749464525</v>
      </c>
      <c r="X6" s="24">
        <v>5.2523364486000004</v>
      </c>
      <c r="Y6" s="24">
        <v>6.0081300813</v>
      </c>
      <c r="Z6" s="24">
        <v>6.1212121212000001</v>
      </c>
      <c r="AA6" s="24">
        <v>7.2131147541000002</v>
      </c>
      <c r="AB6" s="24">
        <v>76.8</v>
      </c>
      <c r="AC6" s="24">
        <v>6.7940231085859573</v>
      </c>
      <c r="AD6" s="24">
        <v>87.15</v>
      </c>
      <c r="AE6" s="24">
        <v>76.5</v>
      </c>
      <c r="AF6" s="24">
        <v>71.7</v>
      </c>
      <c r="AG6" s="24">
        <v>69.900000000000006</v>
      </c>
    </row>
    <row r="7" spans="1:33">
      <c r="A7" s="66"/>
      <c r="B7" s="23" t="s">
        <v>18</v>
      </c>
      <c r="C7" s="23">
        <v>7</v>
      </c>
      <c r="D7" s="23">
        <v>9</v>
      </c>
      <c r="E7" s="27">
        <v>57</v>
      </c>
      <c r="F7" s="31">
        <v>6.333333333333333</v>
      </c>
      <c r="G7" s="23" t="s">
        <v>77</v>
      </c>
      <c r="H7" s="27">
        <v>8</v>
      </c>
      <c r="I7" s="33">
        <v>4</v>
      </c>
      <c r="J7" s="24">
        <v>4.7087673536555563</v>
      </c>
      <c r="K7" s="24">
        <v>0.32083521877523852</v>
      </c>
      <c r="L7" s="24">
        <v>4.2755102040999997</v>
      </c>
      <c r="M7" s="24">
        <v>4.6190476189999998</v>
      </c>
      <c r="N7" s="24">
        <v>4.9537037036999996</v>
      </c>
      <c r="O7" s="24">
        <v>5.2792792792999998</v>
      </c>
      <c r="P7" s="24">
        <v>92.350000000000009</v>
      </c>
      <c r="Q7" s="24">
        <v>2.0054612935681408</v>
      </c>
      <c r="R7" s="24">
        <v>96.15</v>
      </c>
      <c r="S7" s="24">
        <v>91.8</v>
      </c>
      <c r="T7" s="24">
        <v>91.2</v>
      </c>
      <c r="U7" s="24">
        <v>90.15</v>
      </c>
      <c r="V7" s="24">
        <v>4.9176772077750002</v>
      </c>
      <c r="W7" s="24">
        <v>0.45217185219846712</v>
      </c>
      <c r="X7" s="24">
        <v>4.2755102040999997</v>
      </c>
      <c r="Y7" s="24">
        <v>5.0166666666999999</v>
      </c>
      <c r="Z7" s="24">
        <v>5.0555555555999998</v>
      </c>
      <c r="AA7" s="24">
        <v>5.6415094339999996</v>
      </c>
      <c r="AB7" s="24">
        <v>91.125</v>
      </c>
      <c r="AC7" s="24">
        <v>3.379877428039578</v>
      </c>
      <c r="AD7" s="24">
        <v>96.15</v>
      </c>
      <c r="AE7" s="24">
        <v>91.5</v>
      </c>
      <c r="AF7" s="24">
        <v>88.35</v>
      </c>
      <c r="AG7" s="24">
        <v>87</v>
      </c>
    </row>
    <row r="8" spans="1:33">
      <c r="A8" s="66"/>
      <c r="B8" s="23" t="s">
        <v>19</v>
      </c>
      <c r="C8" s="23">
        <v>4</v>
      </c>
      <c r="D8" s="23">
        <v>4</v>
      </c>
      <c r="E8" s="27">
        <v>24</v>
      </c>
      <c r="F8" s="31">
        <v>6</v>
      </c>
      <c r="G8" s="23" t="s">
        <v>77</v>
      </c>
      <c r="H8" s="27">
        <v>4</v>
      </c>
      <c r="I8" s="33">
        <v>3</v>
      </c>
      <c r="J8" s="24">
        <v>4.8716163003500004</v>
      </c>
      <c r="K8" s="24">
        <v>0.55058383741343686</v>
      </c>
      <c r="L8" s="24">
        <v>4.0892857142999999</v>
      </c>
      <c r="M8" s="24">
        <v>4.9038461538</v>
      </c>
      <c r="N8" s="24">
        <v>5.16</v>
      </c>
      <c r="O8" s="24">
        <v>5.3333333332999997</v>
      </c>
      <c r="P8" s="24">
        <v>111.3</v>
      </c>
      <c r="Q8" s="24">
        <v>3.7529988009590429</v>
      </c>
      <c r="R8" s="24">
        <v>114.75</v>
      </c>
      <c r="S8" s="24">
        <v>114.3</v>
      </c>
      <c r="T8" s="24">
        <v>108.6</v>
      </c>
      <c r="U8" s="24">
        <v>107.55</v>
      </c>
      <c r="V8" s="24">
        <v>5.1891825122249999</v>
      </c>
      <c r="W8" s="24">
        <v>0.2098199132522845</v>
      </c>
      <c r="X8" s="24">
        <v>4.9038461538</v>
      </c>
      <c r="Y8" s="24">
        <v>5.16</v>
      </c>
      <c r="Z8" s="24">
        <v>5.3333333332999997</v>
      </c>
      <c r="AA8" s="24">
        <v>5.3595505617999999</v>
      </c>
      <c r="AB8" s="24">
        <v>108.1125</v>
      </c>
      <c r="AC8" s="24">
        <v>5.4060729739802813</v>
      </c>
      <c r="AD8" s="24">
        <v>114.75</v>
      </c>
      <c r="AE8" s="24">
        <v>108.6</v>
      </c>
      <c r="AF8" s="24">
        <v>107.55</v>
      </c>
      <c r="AG8" s="24">
        <v>101.55</v>
      </c>
    </row>
    <row r="9" spans="1:33">
      <c r="A9" s="66"/>
      <c r="B9" s="23" t="s">
        <v>20</v>
      </c>
      <c r="C9" s="23">
        <v>3</v>
      </c>
      <c r="D9" s="23">
        <v>4</v>
      </c>
      <c r="E9" s="27">
        <v>32</v>
      </c>
      <c r="F9" s="31">
        <v>8</v>
      </c>
      <c r="G9" s="23" t="s">
        <v>77</v>
      </c>
      <c r="H9" s="27">
        <v>4</v>
      </c>
      <c r="I9" s="33">
        <v>1</v>
      </c>
      <c r="J9" s="24">
        <v>4.3609195121750002</v>
      </c>
      <c r="K9" s="24">
        <v>0.25048400433864487</v>
      </c>
      <c r="L9" s="24">
        <v>4.1308411214999996</v>
      </c>
      <c r="M9" s="24">
        <v>4.1792452830000002</v>
      </c>
      <c r="N9" s="24">
        <v>4.4732142857000001</v>
      </c>
      <c r="O9" s="24">
        <v>4.6603773584999999</v>
      </c>
      <c r="P9" s="24">
        <v>103.95</v>
      </c>
      <c r="Q9" s="24">
        <v>3.3518651524188749</v>
      </c>
      <c r="R9" s="24">
        <v>107.7</v>
      </c>
      <c r="S9" s="24">
        <v>105.15</v>
      </c>
      <c r="T9" s="24">
        <v>103.2</v>
      </c>
      <c r="U9" s="24">
        <v>99.75</v>
      </c>
      <c r="V9" s="24">
        <v>4.4215375093749998</v>
      </c>
      <c r="W9" s="24">
        <v>0.30918057422804018</v>
      </c>
      <c r="X9" s="24">
        <v>4.1308411214999996</v>
      </c>
      <c r="Y9" s="24">
        <v>4.1792452830000002</v>
      </c>
      <c r="Z9" s="24">
        <v>4.6603773584999999</v>
      </c>
      <c r="AA9" s="24">
        <v>4.7156862745000003</v>
      </c>
      <c r="AB9" s="24">
        <v>102.9375</v>
      </c>
      <c r="AC9" s="24">
        <v>4.1666083329249943</v>
      </c>
      <c r="AD9" s="24">
        <v>107.7</v>
      </c>
      <c r="AE9" s="24">
        <v>105.15</v>
      </c>
      <c r="AF9" s="24">
        <v>99.75</v>
      </c>
      <c r="AG9" s="24">
        <v>99.15</v>
      </c>
    </row>
    <row r="10" spans="1:33">
      <c r="A10" s="65"/>
      <c r="B10" s="23" t="s">
        <v>21</v>
      </c>
      <c r="C10" s="23">
        <v>6</v>
      </c>
      <c r="D10" s="23">
        <v>6</v>
      </c>
      <c r="E10" s="27">
        <v>37</v>
      </c>
      <c r="F10" s="31">
        <v>6.166666666666667</v>
      </c>
      <c r="G10" s="23" t="s">
        <v>77</v>
      </c>
      <c r="H10" s="27">
        <v>5</v>
      </c>
      <c r="I10" s="33">
        <v>7</v>
      </c>
      <c r="J10" s="24">
        <v>4.6944193669166667</v>
      </c>
      <c r="K10" s="24">
        <v>0.48219066178883169</v>
      </c>
      <c r="L10" s="24">
        <v>3.9154929577000002</v>
      </c>
      <c r="M10" s="24">
        <v>4.8349514562999998</v>
      </c>
      <c r="N10" s="24">
        <v>5.0982142857000001</v>
      </c>
      <c r="O10" s="24">
        <v>5.1028037382999996</v>
      </c>
      <c r="P10" s="24">
        <v>98.47499999999998</v>
      </c>
      <c r="Q10" s="24">
        <v>3.4083353708225368</v>
      </c>
      <c r="R10" s="24">
        <v>103.95</v>
      </c>
      <c r="S10" s="24">
        <v>98.25</v>
      </c>
      <c r="T10" s="24">
        <v>96</v>
      </c>
      <c r="U10" s="24">
        <v>94.2</v>
      </c>
      <c r="V10" s="24">
        <v>5.3332998293999996</v>
      </c>
      <c r="W10" s="24">
        <v>0.35722403041000061</v>
      </c>
      <c r="X10" s="24">
        <v>5</v>
      </c>
      <c r="Y10" s="24">
        <v>5.16</v>
      </c>
      <c r="Z10" s="24">
        <v>5.5526315788999998</v>
      </c>
      <c r="AA10" s="24">
        <v>5.8510638298000002</v>
      </c>
      <c r="AB10" s="24">
        <v>89.49</v>
      </c>
      <c r="AC10" s="24">
        <v>5.6290985068659074</v>
      </c>
      <c r="AD10" s="24">
        <v>98.25</v>
      </c>
      <c r="AE10" s="24">
        <v>87.9</v>
      </c>
      <c r="AF10" s="24">
        <v>86.25</v>
      </c>
      <c r="AG10" s="24">
        <v>83.7</v>
      </c>
    </row>
    <row r="11" spans="1:33">
      <c r="A11" s="64" t="s">
        <v>22</v>
      </c>
      <c r="B11" s="23" t="s">
        <v>23</v>
      </c>
      <c r="C11" s="23">
        <v>5</v>
      </c>
      <c r="D11" s="23">
        <v>5</v>
      </c>
      <c r="E11" s="27">
        <v>63</v>
      </c>
      <c r="F11" s="31">
        <v>12.6</v>
      </c>
      <c r="G11" s="23" t="s">
        <v>77</v>
      </c>
      <c r="H11" s="27">
        <v>5</v>
      </c>
      <c r="I11" s="33">
        <v>7</v>
      </c>
      <c r="J11" s="24">
        <v>4.4163267596600004</v>
      </c>
      <c r="K11" s="24">
        <v>0.28821387046787922</v>
      </c>
      <c r="L11" s="24">
        <v>4.1090909090999999</v>
      </c>
      <c r="M11" s="24">
        <v>4.3636363636000004</v>
      </c>
      <c r="N11" s="24">
        <v>4.3827160493999999</v>
      </c>
      <c r="O11" s="24">
        <v>4.8928571428999996</v>
      </c>
      <c r="P11" s="24">
        <v>114.66</v>
      </c>
      <c r="Q11" s="24">
        <v>1.369032505092554</v>
      </c>
      <c r="R11" s="24">
        <v>116.55</v>
      </c>
      <c r="S11" s="24">
        <v>114</v>
      </c>
      <c r="T11" s="24">
        <v>113.7</v>
      </c>
      <c r="U11" s="24">
        <v>113.4</v>
      </c>
      <c r="V11" s="24">
        <v>4.5462716868600008</v>
      </c>
      <c r="W11" s="24">
        <v>0.37126342521794498</v>
      </c>
      <c r="X11" s="24">
        <v>4.1090909090999999</v>
      </c>
      <c r="Y11" s="24">
        <v>4.4454545454999996</v>
      </c>
      <c r="Z11" s="24">
        <v>4.7377049180000004</v>
      </c>
      <c r="AA11" s="24">
        <v>5.0754716981000003</v>
      </c>
      <c r="AB11" s="24">
        <v>112.65</v>
      </c>
      <c r="AC11" s="24">
        <v>1.454303957224899</v>
      </c>
      <c r="AD11" s="24">
        <v>114</v>
      </c>
      <c r="AE11" s="24">
        <v>113.4</v>
      </c>
      <c r="AF11" s="24">
        <v>111.15</v>
      </c>
      <c r="AG11" s="24">
        <v>111</v>
      </c>
    </row>
    <row r="12" spans="1:33">
      <c r="A12" s="66"/>
      <c r="B12" s="23" t="s">
        <v>24</v>
      </c>
      <c r="C12" s="23">
        <v>7</v>
      </c>
      <c r="D12" s="23">
        <v>7</v>
      </c>
      <c r="E12" s="27">
        <v>30</v>
      </c>
      <c r="F12" s="31">
        <v>4.2857142857142856</v>
      </c>
      <c r="G12" s="23" t="s">
        <v>77</v>
      </c>
      <c r="H12" s="27">
        <v>7</v>
      </c>
      <c r="I12" s="33">
        <v>2</v>
      </c>
      <c r="J12" s="24">
        <v>4.9007516929714283</v>
      </c>
      <c r="K12" s="24">
        <v>0.45242990737211453</v>
      </c>
      <c r="L12" s="24">
        <v>4.1176470588000003</v>
      </c>
      <c r="M12" s="24">
        <v>4.8648648649000004</v>
      </c>
      <c r="N12" s="24">
        <v>5.0900900901000004</v>
      </c>
      <c r="O12" s="24">
        <v>5.6355140187000003</v>
      </c>
      <c r="P12" s="24">
        <v>101.2071428571429</v>
      </c>
      <c r="Q12" s="24">
        <v>2.421333752884379</v>
      </c>
      <c r="R12" s="24">
        <v>105</v>
      </c>
      <c r="S12" s="24">
        <v>100.95</v>
      </c>
      <c r="T12" s="24">
        <v>100.5</v>
      </c>
      <c r="U12" s="24">
        <v>97.05</v>
      </c>
      <c r="V12" s="24">
        <v>5.0125846323857148</v>
      </c>
      <c r="W12" s="24">
        <v>0.50211323863099955</v>
      </c>
      <c r="X12" s="24">
        <v>4.1176470588000003</v>
      </c>
      <c r="Y12" s="24">
        <v>5</v>
      </c>
      <c r="Z12" s="24">
        <v>5.48</v>
      </c>
      <c r="AA12" s="24">
        <v>5.6770833332999997</v>
      </c>
      <c r="AB12" s="24">
        <v>100.0071428571429</v>
      </c>
      <c r="AC12" s="24">
        <v>3.2676990594081872</v>
      </c>
      <c r="AD12" s="24">
        <v>105</v>
      </c>
      <c r="AE12" s="24">
        <v>100.95</v>
      </c>
      <c r="AF12" s="24">
        <v>96</v>
      </c>
      <c r="AG12" s="24">
        <v>95.55</v>
      </c>
    </row>
    <row r="13" spans="1:33">
      <c r="A13" s="66"/>
      <c r="B13" s="23" t="s">
        <v>25</v>
      </c>
      <c r="C13" s="23">
        <v>6</v>
      </c>
      <c r="D13" s="23">
        <v>6</v>
      </c>
      <c r="E13" s="27">
        <v>43</v>
      </c>
      <c r="F13" s="31">
        <v>7.166666666666667</v>
      </c>
      <c r="G13" s="23" t="s">
        <v>77</v>
      </c>
      <c r="H13" s="27">
        <v>6</v>
      </c>
      <c r="I13" s="33">
        <v>2</v>
      </c>
      <c r="J13" s="24">
        <v>4.6387155681000003</v>
      </c>
      <c r="K13" s="24">
        <v>0.5428316253621972</v>
      </c>
      <c r="L13" s="24">
        <v>3.6576576577000002</v>
      </c>
      <c r="M13" s="24">
        <v>4.7735849056999999</v>
      </c>
      <c r="N13" s="24">
        <v>4.8691588785000004</v>
      </c>
      <c r="O13" s="24">
        <v>5.2336448598</v>
      </c>
      <c r="P13" s="24">
        <v>109.97499999999999</v>
      </c>
      <c r="Q13" s="24">
        <v>0.75547997988034132</v>
      </c>
      <c r="R13" s="24">
        <v>111</v>
      </c>
      <c r="S13" s="24">
        <v>109.8</v>
      </c>
      <c r="T13" s="24">
        <v>109.35</v>
      </c>
      <c r="U13" s="24">
        <v>109.35</v>
      </c>
      <c r="V13" s="24">
        <v>4.7100910255333339</v>
      </c>
      <c r="W13" s="24">
        <v>0.6244713047398911</v>
      </c>
      <c r="X13" s="24">
        <v>3.4807692308</v>
      </c>
      <c r="Y13" s="24">
        <v>4.8557692308</v>
      </c>
      <c r="Z13" s="24">
        <v>5.0476190475999996</v>
      </c>
      <c r="AA13" s="24">
        <v>5.2336448598</v>
      </c>
      <c r="AB13" s="24">
        <v>109.47499999999999</v>
      </c>
      <c r="AC13" s="24">
        <v>0.9694070352540255</v>
      </c>
      <c r="AD13" s="24">
        <v>111</v>
      </c>
      <c r="AE13" s="24">
        <v>109.5</v>
      </c>
      <c r="AF13" s="24">
        <v>109.2</v>
      </c>
      <c r="AG13" s="24">
        <v>108</v>
      </c>
    </row>
    <row r="14" spans="1:33">
      <c r="A14" s="66"/>
      <c r="B14" s="23" t="s">
        <v>26</v>
      </c>
      <c r="C14" s="23">
        <v>6</v>
      </c>
      <c r="D14" s="23">
        <v>6</v>
      </c>
      <c r="E14" s="27">
        <v>38</v>
      </c>
      <c r="F14" s="31">
        <v>6.333333333333333</v>
      </c>
      <c r="G14" s="23" t="s">
        <v>77</v>
      </c>
      <c r="H14" s="27">
        <v>6</v>
      </c>
      <c r="I14" s="33">
        <v>4</v>
      </c>
      <c r="J14" s="24">
        <v>4.9085992947666668</v>
      </c>
      <c r="K14" s="24">
        <v>0.2379499295370377</v>
      </c>
      <c r="L14" s="24">
        <v>4.5309734513000004</v>
      </c>
      <c r="M14" s="24">
        <v>4.8965517241000001</v>
      </c>
      <c r="N14" s="24">
        <v>4.9814814815000004</v>
      </c>
      <c r="O14" s="24">
        <v>5.2631578947</v>
      </c>
      <c r="P14" s="24">
        <v>111.55</v>
      </c>
      <c r="Q14" s="24">
        <v>0.8414273587185076</v>
      </c>
      <c r="R14" s="24">
        <v>112.5</v>
      </c>
      <c r="S14" s="24">
        <v>111.75</v>
      </c>
      <c r="T14" s="24">
        <v>111.3</v>
      </c>
      <c r="U14" s="24">
        <v>110.1</v>
      </c>
      <c r="V14" s="24">
        <v>5.1885315588833327</v>
      </c>
      <c r="W14" s="24">
        <v>0.3130813179890769</v>
      </c>
      <c r="X14" s="24">
        <v>4.8240740741000003</v>
      </c>
      <c r="Y14" s="24">
        <v>5.0625</v>
      </c>
      <c r="Z14" s="24">
        <v>5.5377358490999997</v>
      </c>
      <c r="AA14" s="24">
        <v>5.5471698112999999</v>
      </c>
      <c r="AB14" s="24">
        <v>110.15</v>
      </c>
      <c r="AC14" s="24">
        <v>1.824006578935502</v>
      </c>
      <c r="AD14" s="24">
        <v>112.5</v>
      </c>
      <c r="AE14" s="24">
        <v>111.3</v>
      </c>
      <c r="AF14" s="24">
        <v>108.45</v>
      </c>
      <c r="AG14" s="24">
        <v>108.15</v>
      </c>
    </row>
    <row r="15" spans="1:33">
      <c r="A15" s="66"/>
      <c r="B15" s="23" t="s">
        <v>27</v>
      </c>
      <c r="C15" s="23">
        <v>6</v>
      </c>
      <c r="D15" s="23">
        <v>6</v>
      </c>
      <c r="E15" s="27">
        <v>24</v>
      </c>
      <c r="F15" s="31">
        <v>4</v>
      </c>
      <c r="G15" s="23" t="s">
        <v>77</v>
      </c>
      <c r="H15" s="27">
        <v>6</v>
      </c>
      <c r="I15" s="33">
        <v>2</v>
      </c>
      <c r="J15" s="24">
        <v>4.9174921157666667</v>
      </c>
      <c r="K15" s="24">
        <v>0.4298707633810448</v>
      </c>
      <c r="L15" s="24">
        <v>4.1923076923</v>
      </c>
      <c r="M15" s="24">
        <v>4.8383838384000004</v>
      </c>
      <c r="N15" s="24">
        <v>5.3465346535</v>
      </c>
      <c r="O15" s="24">
        <v>5.3655913978000003</v>
      </c>
      <c r="P15" s="24">
        <v>96.075000000000003</v>
      </c>
      <c r="Q15" s="24">
        <v>4.0977737858500669</v>
      </c>
      <c r="R15" s="24">
        <v>100.8</v>
      </c>
      <c r="S15" s="24">
        <v>97.5</v>
      </c>
      <c r="T15" s="24">
        <v>91.95</v>
      </c>
      <c r="U15" s="24">
        <v>91.8</v>
      </c>
      <c r="V15" s="24">
        <v>5.1169550502166663</v>
      </c>
      <c r="W15" s="24">
        <v>0.64309971355419548</v>
      </c>
      <c r="X15" s="24">
        <v>4.1923076923</v>
      </c>
      <c r="Y15" s="24">
        <v>4.9272727273000001</v>
      </c>
      <c r="Z15" s="24">
        <v>5.3465346535</v>
      </c>
      <c r="AA15" s="24">
        <v>6.1287128713000003</v>
      </c>
      <c r="AB15" s="24">
        <v>93.274999999999991</v>
      </c>
      <c r="AC15" s="24">
        <v>3.8900835466606609</v>
      </c>
      <c r="AD15" s="24">
        <v>100.8</v>
      </c>
      <c r="AE15" s="24">
        <v>91.95</v>
      </c>
      <c r="AF15" s="24">
        <v>91.05</v>
      </c>
      <c r="AG15" s="24">
        <v>90.15</v>
      </c>
    </row>
    <row r="16" spans="1:33">
      <c r="A16" s="66"/>
      <c r="B16" s="23" t="s">
        <v>28</v>
      </c>
      <c r="C16" s="23">
        <v>9</v>
      </c>
      <c r="D16" s="23">
        <v>10</v>
      </c>
      <c r="E16" s="27">
        <v>58</v>
      </c>
      <c r="F16" s="31">
        <v>5.8</v>
      </c>
      <c r="G16" s="23" t="s">
        <v>77</v>
      </c>
      <c r="H16" s="27">
        <v>10</v>
      </c>
      <c r="I16" s="33">
        <v>4</v>
      </c>
      <c r="J16" s="24">
        <v>5.068957371763636</v>
      </c>
      <c r="K16" s="24">
        <v>0.38138881285941612</v>
      </c>
      <c r="L16" s="24">
        <v>4.6914893617000004</v>
      </c>
      <c r="M16" s="24">
        <v>4.9292035397999996</v>
      </c>
      <c r="N16" s="24">
        <v>5.4128440367000001</v>
      </c>
      <c r="O16" s="24">
        <v>5.7920792078999996</v>
      </c>
      <c r="P16" s="24">
        <v>104.9727272727273</v>
      </c>
      <c r="Q16" s="24">
        <v>1.957851326884098</v>
      </c>
      <c r="R16" s="24">
        <v>108.9</v>
      </c>
      <c r="S16" s="24">
        <v>104.55</v>
      </c>
      <c r="T16" s="24">
        <v>103.35</v>
      </c>
      <c r="U16" s="24">
        <v>103.2</v>
      </c>
      <c r="V16" s="24">
        <v>5.3080727665699996</v>
      </c>
      <c r="W16" s="24">
        <v>0.3608253110416158</v>
      </c>
      <c r="X16" s="24">
        <v>4.7966101695000001</v>
      </c>
      <c r="Y16" s="24">
        <v>5.3482142857000001</v>
      </c>
      <c r="Z16" s="24">
        <v>5.5631067960999996</v>
      </c>
      <c r="AA16" s="24">
        <v>5.7920792078999996</v>
      </c>
      <c r="AB16" s="24">
        <v>103.545</v>
      </c>
      <c r="AC16" s="24">
        <v>2.848727786223177</v>
      </c>
      <c r="AD16" s="24">
        <v>108.9</v>
      </c>
      <c r="AE16" s="24">
        <v>103.95</v>
      </c>
      <c r="AF16" s="24">
        <v>102</v>
      </c>
      <c r="AG16" s="24">
        <v>98.4</v>
      </c>
    </row>
    <row r="17" spans="1:33">
      <c r="A17" s="66"/>
      <c r="B17" s="23" t="s">
        <v>29</v>
      </c>
      <c r="C17" s="23">
        <v>10</v>
      </c>
      <c r="D17" s="23">
        <v>10</v>
      </c>
      <c r="E17" s="27">
        <v>46</v>
      </c>
      <c r="F17" s="31">
        <v>4.5999999999999996</v>
      </c>
      <c r="G17" s="23" t="s">
        <v>77</v>
      </c>
      <c r="H17" s="27">
        <v>8</v>
      </c>
      <c r="I17" s="33">
        <v>8</v>
      </c>
      <c r="J17" s="24">
        <v>4.8668031698999998</v>
      </c>
      <c r="K17" s="24">
        <v>0.49889274284959351</v>
      </c>
      <c r="L17" s="24">
        <v>3.7757009346000001</v>
      </c>
      <c r="M17" s="24">
        <v>4.8898305085000002</v>
      </c>
      <c r="N17" s="24">
        <v>5.2641509433999998</v>
      </c>
      <c r="O17" s="24">
        <v>5.4411764706000003</v>
      </c>
      <c r="P17" s="24">
        <v>84.27</v>
      </c>
      <c r="Q17" s="24">
        <v>4.6242837283194476</v>
      </c>
      <c r="R17" s="24">
        <v>93.75</v>
      </c>
      <c r="S17" s="24">
        <v>84.45</v>
      </c>
      <c r="T17" s="24">
        <v>81.45</v>
      </c>
      <c r="U17" s="24">
        <v>78.599999999999994</v>
      </c>
      <c r="V17" s="24">
        <v>5.5772227388875004</v>
      </c>
      <c r="W17" s="24">
        <v>0.30711977527040257</v>
      </c>
      <c r="X17" s="24">
        <v>5.0245901639000001</v>
      </c>
      <c r="Y17" s="24">
        <v>5.6019417475999997</v>
      </c>
      <c r="Z17" s="24">
        <v>5.6826923077</v>
      </c>
      <c r="AA17" s="24">
        <v>5.9813084111999997</v>
      </c>
      <c r="AB17" s="24">
        <v>76.443749999999994</v>
      </c>
      <c r="AC17" s="24">
        <v>4.1406036050660173</v>
      </c>
      <c r="AD17" s="24">
        <v>82.8</v>
      </c>
      <c r="AE17" s="24">
        <v>76.650000000000006</v>
      </c>
      <c r="AF17" s="24">
        <v>74.25</v>
      </c>
      <c r="AG17" s="24">
        <v>70.2</v>
      </c>
    </row>
    <row r="18" spans="1:33">
      <c r="A18" s="66"/>
      <c r="B18" s="23" t="s">
        <v>110</v>
      </c>
      <c r="C18" s="23">
        <v>9</v>
      </c>
      <c r="D18" s="23">
        <v>10</v>
      </c>
      <c r="E18" s="27">
        <v>49</v>
      </c>
      <c r="F18" s="31">
        <v>4.9000000000000004</v>
      </c>
      <c r="G18" s="23" t="s">
        <v>77</v>
      </c>
      <c r="H18" s="27">
        <v>10</v>
      </c>
      <c r="I18" s="33">
        <v>5</v>
      </c>
      <c r="J18" s="24">
        <v>4.8162593805100009</v>
      </c>
      <c r="K18" s="24">
        <v>0.28695287816935899</v>
      </c>
      <c r="L18" s="24">
        <v>4.3727272726999997</v>
      </c>
      <c r="M18" s="24">
        <v>4.6864406780000003</v>
      </c>
      <c r="N18" s="24">
        <v>5.0275229358000004</v>
      </c>
      <c r="O18" s="24">
        <v>5.31</v>
      </c>
      <c r="P18" s="24">
        <v>107.34</v>
      </c>
      <c r="Q18" s="24">
        <v>3.0620254734407411</v>
      </c>
      <c r="R18" s="24">
        <v>112.5</v>
      </c>
      <c r="S18" s="24">
        <v>107.4</v>
      </c>
      <c r="T18" s="24">
        <v>104.7</v>
      </c>
      <c r="U18" s="24">
        <v>103.95</v>
      </c>
      <c r="V18" s="24">
        <v>5.08550114147</v>
      </c>
      <c r="W18" s="24">
        <v>0.38700137287884068</v>
      </c>
      <c r="X18" s="24">
        <v>4.3727272726999997</v>
      </c>
      <c r="Y18" s="24">
        <v>5.0275229358000004</v>
      </c>
      <c r="Z18" s="24">
        <v>5.4</v>
      </c>
      <c r="AA18" s="24">
        <v>5.6495726495999996</v>
      </c>
      <c r="AB18" s="24">
        <v>105.075</v>
      </c>
      <c r="AC18" s="24">
        <v>3.2235461839409112</v>
      </c>
      <c r="AD18" s="24">
        <v>112.5</v>
      </c>
      <c r="AE18" s="24">
        <v>104.7</v>
      </c>
      <c r="AF18" s="24">
        <v>103.8</v>
      </c>
      <c r="AG18" s="24">
        <v>100.35</v>
      </c>
    </row>
    <row r="19" spans="1:33">
      <c r="A19" s="65"/>
      <c r="B19" s="23" t="s">
        <v>30</v>
      </c>
      <c r="C19" s="23">
        <v>6</v>
      </c>
      <c r="D19" s="23">
        <v>8</v>
      </c>
      <c r="E19" s="27">
        <v>50</v>
      </c>
      <c r="F19" s="31">
        <v>6.25</v>
      </c>
      <c r="G19" s="23" t="s">
        <v>77</v>
      </c>
      <c r="H19" s="27">
        <v>8</v>
      </c>
      <c r="I19" s="33">
        <v>11</v>
      </c>
      <c r="J19" s="24">
        <v>4.6768299939500002</v>
      </c>
      <c r="K19" s="24">
        <v>0.3743206717178485</v>
      </c>
      <c r="L19" s="24">
        <v>4.0526315788999998</v>
      </c>
      <c r="M19" s="24">
        <v>4.6603773584999999</v>
      </c>
      <c r="N19" s="24">
        <v>4.8303571428999996</v>
      </c>
      <c r="O19" s="24">
        <v>5.3</v>
      </c>
      <c r="P19" s="24">
        <v>102.2625</v>
      </c>
      <c r="Q19" s="24">
        <v>2.2158116861708779</v>
      </c>
      <c r="R19" s="24">
        <v>106.95</v>
      </c>
      <c r="S19" s="24">
        <v>102</v>
      </c>
      <c r="T19" s="24">
        <v>100.65</v>
      </c>
      <c r="U19" s="24">
        <v>100.2</v>
      </c>
      <c r="V19" s="24">
        <v>4.9957512779875</v>
      </c>
      <c r="W19" s="24">
        <v>0.47868854617838802</v>
      </c>
      <c r="X19" s="24">
        <v>4.0526315788999998</v>
      </c>
      <c r="Y19" s="24">
        <v>5.0350877192999999</v>
      </c>
      <c r="Z19" s="24">
        <v>5.2820512821000003</v>
      </c>
      <c r="AA19" s="24">
        <v>5.5862068966000002</v>
      </c>
      <c r="AB19" s="24">
        <v>97.3125</v>
      </c>
      <c r="AC19" s="24">
        <v>6.7743608027410467</v>
      </c>
      <c r="AD19" s="24">
        <v>106.95</v>
      </c>
      <c r="AE19" s="24">
        <v>100.35</v>
      </c>
      <c r="AF19" s="24">
        <v>92.85</v>
      </c>
      <c r="AG19" s="24">
        <v>88.35</v>
      </c>
    </row>
    <row r="20" spans="1:33" ht="33">
      <c r="A20" s="64" t="s">
        <v>31</v>
      </c>
      <c r="B20" s="22" t="s">
        <v>124</v>
      </c>
      <c r="C20" s="23">
        <v>5</v>
      </c>
      <c r="D20" s="23">
        <v>5</v>
      </c>
      <c r="E20" s="27">
        <v>15</v>
      </c>
      <c r="F20" s="31">
        <v>3</v>
      </c>
      <c r="G20" s="23" t="s">
        <v>77</v>
      </c>
      <c r="H20" s="27">
        <v>3</v>
      </c>
      <c r="I20" s="33">
        <v>7</v>
      </c>
      <c r="J20" s="24">
        <v>5.6288193945199998</v>
      </c>
      <c r="K20" s="24">
        <v>0.55698402035023253</v>
      </c>
      <c r="L20" s="24">
        <v>5.1153846154</v>
      </c>
      <c r="M20" s="24">
        <v>5.4537037036999996</v>
      </c>
      <c r="N20" s="24">
        <v>5.7009345794000001</v>
      </c>
      <c r="O20" s="24">
        <v>6.55</v>
      </c>
      <c r="P20" s="24">
        <v>88.050000000000011</v>
      </c>
      <c r="Q20" s="24">
        <v>4.1024382993532011</v>
      </c>
      <c r="R20" s="24">
        <v>94.05</v>
      </c>
      <c r="S20" s="24">
        <v>87.15</v>
      </c>
      <c r="T20" s="24">
        <v>84.75</v>
      </c>
      <c r="U20" s="24">
        <v>84.15</v>
      </c>
      <c r="V20" s="24">
        <v>6.2982716049333334</v>
      </c>
      <c r="W20" s="24">
        <v>1.246575024327147</v>
      </c>
      <c r="X20" s="24">
        <v>5.4537037036999996</v>
      </c>
      <c r="Y20" s="24">
        <v>5.7111111111000001</v>
      </c>
      <c r="Z20" s="24">
        <v>7.73</v>
      </c>
      <c r="AA20" s="24">
        <v>7.73</v>
      </c>
      <c r="AB20" s="24">
        <v>77.649999999999991</v>
      </c>
      <c r="AC20" s="24">
        <v>12.08345976945345</v>
      </c>
      <c r="AD20" s="24">
        <v>87.15</v>
      </c>
      <c r="AE20" s="24">
        <v>81.75</v>
      </c>
      <c r="AF20" s="24">
        <v>64.05</v>
      </c>
      <c r="AG20" s="24">
        <v>64.05</v>
      </c>
    </row>
    <row r="21" spans="1:33">
      <c r="A21" s="66"/>
      <c r="B21" s="23" t="s">
        <v>32</v>
      </c>
      <c r="C21" s="23">
        <v>5</v>
      </c>
      <c r="D21" s="23">
        <v>5</v>
      </c>
      <c r="E21" s="27">
        <v>21</v>
      </c>
      <c r="F21" s="31">
        <v>4.2</v>
      </c>
      <c r="G21" s="23" t="s">
        <v>77</v>
      </c>
      <c r="H21" s="27">
        <v>5</v>
      </c>
      <c r="I21" s="33">
        <v>6</v>
      </c>
      <c r="J21" s="24">
        <v>5.4922831216999999</v>
      </c>
      <c r="K21" s="24">
        <v>0.30627690394891838</v>
      </c>
      <c r="L21" s="24">
        <v>5</v>
      </c>
      <c r="M21" s="24">
        <v>5.5161290323000003</v>
      </c>
      <c r="N21" s="24">
        <v>5.7403846154</v>
      </c>
      <c r="O21" s="24">
        <v>5.7549019607999998</v>
      </c>
      <c r="P21" s="24">
        <v>86.73</v>
      </c>
      <c r="Q21" s="24">
        <v>3.4178940884702662</v>
      </c>
      <c r="R21" s="24">
        <v>92.1</v>
      </c>
      <c r="S21" s="24">
        <v>86.7</v>
      </c>
      <c r="T21" s="24">
        <v>84</v>
      </c>
      <c r="U21" s="24">
        <v>83.55</v>
      </c>
      <c r="V21" s="24">
        <v>5.981186985119999</v>
      </c>
      <c r="W21" s="24">
        <v>0.50901120859046811</v>
      </c>
      <c r="X21" s="24">
        <v>5.5161290323000003</v>
      </c>
      <c r="Y21" s="24">
        <v>5.7549019607999998</v>
      </c>
      <c r="Z21" s="24">
        <v>6.0754716981000003</v>
      </c>
      <c r="AA21" s="24">
        <v>6.819047619</v>
      </c>
      <c r="AB21" s="24">
        <v>82.289999999999992</v>
      </c>
      <c r="AC21" s="24">
        <v>3.797104159751219</v>
      </c>
      <c r="AD21" s="24">
        <v>86.7</v>
      </c>
      <c r="AE21" s="24">
        <v>83.55</v>
      </c>
      <c r="AF21" s="24">
        <v>80.400000000000006</v>
      </c>
      <c r="AG21" s="24">
        <v>76.8</v>
      </c>
    </row>
    <row r="22" spans="1:33">
      <c r="A22" s="66"/>
      <c r="B22" s="23" t="s">
        <v>33</v>
      </c>
      <c r="C22" s="23">
        <v>6</v>
      </c>
      <c r="D22" s="23">
        <v>6</v>
      </c>
      <c r="E22" s="27">
        <v>42</v>
      </c>
      <c r="F22" s="31">
        <v>7</v>
      </c>
      <c r="G22" s="23" t="s">
        <v>77</v>
      </c>
      <c r="H22" s="27">
        <v>6</v>
      </c>
      <c r="I22" s="33">
        <v>4</v>
      </c>
      <c r="J22" s="24">
        <v>4.4997574955999999</v>
      </c>
      <c r="K22" s="24">
        <v>0.26048718309941732</v>
      </c>
      <c r="L22" s="24">
        <v>4.0925925926</v>
      </c>
      <c r="M22" s="24">
        <v>4.4519230769</v>
      </c>
      <c r="N22" s="24">
        <v>4.6761904762000004</v>
      </c>
      <c r="O22" s="24">
        <v>4.7809523809999996</v>
      </c>
      <c r="P22" s="24">
        <v>101</v>
      </c>
      <c r="Q22" s="24">
        <v>2.0690577565645669</v>
      </c>
      <c r="R22" s="24">
        <v>104.1</v>
      </c>
      <c r="S22" s="24">
        <v>101.25</v>
      </c>
      <c r="T22" s="24">
        <v>99.3</v>
      </c>
      <c r="U22" s="24">
        <v>99.3</v>
      </c>
      <c r="V22" s="24">
        <v>4.8269937216000001</v>
      </c>
      <c r="W22" s="24">
        <v>0.1966094783096263</v>
      </c>
      <c r="X22" s="24">
        <v>4.6730769231</v>
      </c>
      <c r="Y22" s="24">
        <v>4.7373737373999996</v>
      </c>
      <c r="Z22" s="24">
        <v>4.90625</v>
      </c>
      <c r="AA22" s="24">
        <v>5.1881188118999999</v>
      </c>
      <c r="AB22" s="24">
        <v>99</v>
      </c>
      <c r="AC22" s="24">
        <v>2.2268812271874761</v>
      </c>
      <c r="AD22" s="24">
        <v>102.75</v>
      </c>
      <c r="AE22" s="24">
        <v>99.3</v>
      </c>
      <c r="AF22" s="24">
        <v>97.2</v>
      </c>
      <c r="AG22" s="24">
        <v>96.3</v>
      </c>
    </row>
    <row r="23" spans="1:33">
      <c r="A23" s="66"/>
      <c r="B23" s="23" t="s">
        <v>34</v>
      </c>
      <c r="C23" s="23">
        <v>5</v>
      </c>
      <c r="D23" s="23">
        <v>3</v>
      </c>
      <c r="E23" s="27">
        <v>11</v>
      </c>
      <c r="F23" s="31">
        <v>3.6666666666666665</v>
      </c>
      <c r="G23" s="23" t="s">
        <v>77</v>
      </c>
      <c r="H23" s="27">
        <v>3</v>
      </c>
      <c r="I23" s="33">
        <v>2</v>
      </c>
      <c r="J23" s="24">
        <v>4.9877897703333334</v>
      </c>
      <c r="K23" s="24">
        <v>0.54258088995294484</v>
      </c>
      <c r="L23" s="24">
        <v>4.43</v>
      </c>
      <c r="M23" s="24">
        <v>5.0196078431000002</v>
      </c>
      <c r="N23" s="24">
        <v>5.5137614679000002</v>
      </c>
      <c r="O23" s="24">
        <v>5.5137614679000002</v>
      </c>
      <c r="P23" s="24">
        <v>95.90000000000002</v>
      </c>
      <c r="Q23" s="24">
        <v>1.203120941551592</v>
      </c>
      <c r="R23" s="24">
        <v>97.05</v>
      </c>
      <c r="S23" s="24">
        <v>96</v>
      </c>
      <c r="T23" s="24">
        <v>94.65</v>
      </c>
      <c r="U23" s="24">
        <v>94.65</v>
      </c>
      <c r="V23" s="24">
        <v>5.6659633323666663</v>
      </c>
      <c r="W23" s="24">
        <v>0.57978134613651444</v>
      </c>
      <c r="X23" s="24">
        <v>5.0196078431000002</v>
      </c>
      <c r="Y23" s="24">
        <v>5.8380952381000002</v>
      </c>
      <c r="Z23" s="24">
        <v>6.1401869159000002</v>
      </c>
      <c r="AA23" s="24">
        <v>6.1401869159000002</v>
      </c>
      <c r="AB23" s="24">
        <v>89.34999999999998</v>
      </c>
      <c r="AC23" s="24">
        <v>6.695334196289231</v>
      </c>
      <c r="AD23" s="24">
        <v>97.05</v>
      </c>
      <c r="AE23" s="24">
        <v>86.1</v>
      </c>
      <c r="AF23" s="24">
        <v>84.9</v>
      </c>
      <c r="AG23" s="24">
        <v>84.9</v>
      </c>
    </row>
    <row r="24" spans="1:33">
      <c r="A24" s="66"/>
      <c r="B24" s="23" t="s">
        <v>35</v>
      </c>
      <c r="C24" s="23">
        <v>3</v>
      </c>
      <c r="D24" s="23">
        <v>3</v>
      </c>
      <c r="E24" s="27">
        <v>23</v>
      </c>
      <c r="F24" s="31">
        <v>7.666666666666667</v>
      </c>
      <c r="G24" s="23" t="s">
        <v>77</v>
      </c>
      <c r="H24" s="27">
        <v>2</v>
      </c>
      <c r="I24" s="33">
        <v>5</v>
      </c>
      <c r="J24" s="24">
        <v>4.6377311781333326</v>
      </c>
      <c r="K24" s="24">
        <v>0.26701745919689729</v>
      </c>
      <c r="L24" s="24">
        <v>4.4036697248000003</v>
      </c>
      <c r="M24" s="24">
        <v>4.5809523810000004</v>
      </c>
      <c r="N24" s="24">
        <v>4.9285714285999997</v>
      </c>
      <c r="O24" s="24">
        <v>4.9285714285999997</v>
      </c>
      <c r="P24" s="24">
        <v>99.399999999999991</v>
      </c>
      <c r="Q24" s="24">
        <v>1.5024979201316719</v>
      </c>
      <c r="R24" s="24">
        <v>100.95</v>
      </c>
      <c r="S24" s="24">
        <v>99.3</v>
      </c>
      <c r="T24" s="24">
        <v>97.95</v>
      </c>
      <c r="U24" s="24">
        <v>97.95</v>
      </c>
      <c r="V24" s="24">
        <v>5.1587301587500001</v>
      </c>
      <c r="W24" s="24">
        <v>0.32549359767669978</v>
      </c>
      <c r="X24" s="24">
        <v>4.9285714285999997</v>
      </c>
      <c r="Y24" s="24">
        <v>4.9285714285999997</v>
      </c>
      <c r="Z24" s="24">
        <v>5.3888888889000004</v>
      </c>
      <c r="AA24" s="24">
        <v>5.3888888889000004</v>
      </c>
      <c r="AB24" s="24">
        <v>97.35</v>
      </c>
      <c r="AC24" s="24">
        <v>5.0911688245431437</v>
      </c>
      <c r="AD24" s="24">
        <v>100.95</v>
      </c>
      <c r="AE24" s="24">
        <v>100.95</v>
      </c>
      <c r="AF24" s="24">
        <v>93.75</v>
      </c>
      <c r="AG24" s="24">
        <v>93.75</v>
      </c>
    </row>
    <row r="25" spans="1:33">
      <c r="A25" s="65"/>
      <c r="B25" s="23" t="s">
        <v>36</v>
      </c>
      <c r="C25" s="23">
        <v>6</v>
      </c>
      <c r="D25" s="23">
        <v>6</v>
      </c>
      <c r="E25" s="27">
        <v>21</v>
      </c>
      <c r="F25" s="31">
        <v>3.5</v>
      </c>
      <c r="G25" s="23" t="s">
        <v>77</v>
      </c>
      <c r="H25" s="27">
        <v>6</v>
      </c>
      <c r="I25" s="33">
        <v>7</v>
      </c>
      <c r="J25" s="24">
        <v>5.3766674570333324</v>
      </c>
      <c r="K25" s="24">
        <v>0.1154429629695973</v>
      </c>
      <c r="L25" s="24">
        <v>5.2421052632</v>
      </c>
      <c r="M25" s="24">
        <v>5.3277310923999996</v>
      </c>
      <c r="N25" s="24">
        <v>5.4838709676999997</v>
      </c>
      <c r="O25" s="24">
        <v>5.5233644860000002</v>
      </c>
      <c r="P25" s="24">
        <v>81.974999999999994</v>
      </c>
      <c r="Q25" s="24">
        <v>1.786826796306791</v>
      </c>
      <c r="R25" s="24">
        <v>84.75</v>
      </c>
      <c r="S25" s="24">
        <v>82.5</v>
      </c>
      <c r="T25" s="24">
        <v>80.7</v>
      </c>
      <c r="U25" s="24">
        <v>79.650000000000006</v>
      </c>
      <c r="V25" s="24">
        <v>5.8717978413666669</v>
      </c>
      <c r="W25" s="24">
        <v>0.64121715004362245</v>
      </c>
      <c r="X25" s="24">
        <v>5.2421052632</v>
      </c>
      <c r="Y25" s="24">
        <v>5.5233644860000002</v>
      </c>
      <c r="Z25" s="24">
        <v>6.5447154471999998</v>
      </c>
      <c r="AA25" s="24">
        <v>6.71875</v>
      </c>
      <c r="AB25" s="24">
        <v>79.100000000000009</v>
      </c>
      <c r="AC25" s="24">
        <v>5.3224994128698579</v>
      </c>
      <c r="AD25" s="24">
        <v>84.75</v>
      </c>
      <c r="AE25" s="24">
        <v>82.5</v>
      </c>
      <c r="AF25" s="24">
        <v>73.650000000000006</v>
      </c>
      <c r="AG25" s="24">
        <v>71.7</v>
      </c>
    </row>
    <row r="26" spans="1:33">
      <c r="A26" s="64" t="s">
        <v>37</v>
      </c>
      <c r="B26" s="23" t="s">
        <v>38</v>
      </c>
      <c r="C26" s="23">
        <v>7</v>
      </c>
      <c r="D26" s="23">
        <v>7</v>
      </c>
      <c r="E26" s="27">
        <v>53</v>
      </c>
      <c r="F26" s="31">
        <v>7.5714285714285712</v>
      </c>
      <c r="G26" s="23" t="s">
        <v>77</v>
      </c>
      <c r="H26" s="27">
        <v>6</v>
      </c>
      <c r="I26" s="33">
        <v>7</v>
      </c>
      <c r="J26" s="24">
        <v>4.6454183094285719</v>
      </c>
      <c r="K26" s="24">
        <v>0.48483578061930038</v>
      </c>
      <c r="L26" s="24">
        <v>4</v>
      </c>
      <c r="M26" s="24">
        <v>4.7789473683999999</v>
      </c>
      <c r="N26" s="24">
        <v>4.9459459459000001</v>
      </c>
      <c r="O26" s="24">
        <v>5.3454545455</v>
      </c>
      <c r="P26" s="24">
        <v>104.1642857142857</v>
      </c>
      <c r="Q26" s="24">
        <v>4.0885729260254831</v>
      </c>
      <c r="R26" s="24">
        <v>110.25</v>
      </c>
      <c r="S26" s="24">
        <v>102.3</v>
      </c>
      <c r="T26" s="24">
        <v>101.25</v>
      </c>
      <c r="U26" s="24">
        <v>99.3</v>
      </c>
      <c r="V26" s="24">
        <v>4.7774175150833331</v>
      </c>
      <c r="W26" s="24">
        <v>0.49241446144209272</v>
      </c>
      <c r="X26" s="24">
        <v>4.0857142856999999</v>
      </c>
      <c r="Y26" s="24">
        <v>4.7413793103000001</v>
      </c>
      <c r="Z26" s="24">
        <v>5.0196078431000002</v>
      </c>
      <c r="AA26" s="24">
        <v>5.5428571429</v>
      </c>
      <c r="AB26" s="24">
        <v>100.97499999999999</v>
      </c>
      <c r="AC26" s="24">
        <v>6.1125076687068454</v>
      </c>
      <c r="AD26" s="24">
        <v>110.25</v>
      </c>
      <c r="AE26" s="24">
        <v>97.65</v>
      </c>
      <c r="AF26" s="24">
        <v>97.2</v>
      </c>
      <c r="AG26" s="24">
        <v>96.3</v>
      </c>
    </row>
    <row r="27" spans="1:33">
      <c r="A27" s="66"/>
      <c r="B27" s="23" t="s">
        <v>39</v>
      </c>
      <c r="C27" s="23">
        <v>29</v>
      </c>
      <c r="D27" s="23">
        <v>27</v>
      </c>
      <c r="E27" s="27">
        <v>87</v>
      </c>
      <c r="F27" s="31">
        <v>3.2222222222222223</v>
      </c>
      <c r="G27" s="23" t="s">
        <v>77</v>
      </c>
      <c r="H27" s="27">
        <v>26</v>
      </c>
      <c r="I27" s="33">
        <v>12</v>
      </c>
      <c r="J27" s="24">
        <v>5.5864338456111113</v>
      </c>
      <c r="K27" s="24">
        <v>0.53177180287210646</v>
      </c>
      <c r="L27" s="24">
        <v>4.1698113208000001</v>
      </c>
      <c r="M27" s="24">
        <v>5.7037037036999996</v>
      </c>
      <c r="N27" s="24">
        <v>5.9814814815000004</v>
      </c>
      <c r="O27" s="24">
        <v>6.3061224490000001</v>
      </c>
      <c r="P27" s="24">
        <v>88.855555555555554</v>
      </c>
      <c r="Q27" s="24">
        <v>5.2207672095593631</v>
      </c>
      <c r="R27" s="24">
        <v>100.8</v>
      </c>
      <c r="S27" s="24">
        <v>88.5</v>
      </c>
      <c r="T27" s="24">
        <v>85.2</v>
      </c>
      <c r="U27" s="24">
        <v>82.2</v>
      </c>
      <c r="V27" s="24">
        <v>5.7335625262769234</v>
      </c>
      <c r="W27" s="24">
        <v>0.43612018671689767</v>
      </c>
      <c r="X27" s="24">
        <v>4.6900000000000004</v>
      </c>
      <c r="Y27" s="24">
        <v>5.8288288287999999</v>
      </c>
      <c r="Z27" s="24">
        <v>6.0285714286000003</v>
      </c>
      <c r="AA27" s="24">
        <v>6.3163265305999996</v>
      </c>
      <c r="AB27" s="24">
        <v>86.284615384615392</v>
      </c>
      <c r="AC27" s="24">
        <v>5.4092100944734858</v>
      </c>
      <c r="AD27" s="24">
        <v>98.1</v>
      </c>
      <c r="AE27" s="24">
        <v>85.65</v>
      </c>
      <c r="AF27" s="24">
        <v>82.05</v>
      </c>
      <c r="AG27" s="24">
        <v>78.599999999999994</v>
      </c>
    </row>
    <row r="28" spans="1:33">
      <c r="A28" s="66"/>
      <c r="B28" s="23" t="s">
        <v>40</v>
      </c>
      <c r="C28" s="23">
        <v>6</v>
      </c>
      <c r="D28" s="23">
        <v>6</v>
      </c>
      <c r="E28" s="27">
        <v>31</v>
      </c>
      <c r="F28" s="31">
        <v>5.166666666666667</v>
      </c>
      <c r="G28" s="23" t="s">
        <v>77</v>
      </c>
      <c r="H28" s="27">
        <v>6</v>
      </c>
      <c r="I28" s="33">
        <v>2</v>
      </c>
      <c r="J28" s="24">
        <v>4.8067502790833334</v>
      </c>
      <c r="K28" s="24">
        <v>0.25005163656435397</v>
      </c>
      <c r="L28" s="24">
        <v>4.5833333332999997</v>
      </c>
      <c r="M28" s="24">
        <v>4.6448598131000001</v>
      </c>
      <c r="N28" s="24">
        <v>5.1081081080999997</v>
      </c>
      <c r="O28" s="24">
        <v>5.1212121212000001</v>
      </c>
      <c r="P28" s="24">
        <v>100.52500000000001</v>
      </c>
      <c r="Q28" s="24">
        <v>1.9613133354974139</v>
      </c>
      <c r="R28" s="24">
        <v>104.1</v>
      </c>
      <c r="S28" s="24">
        <v>100.65</v>
      </c>
      <c r="T28" s="24">
        <v>99</v>
      </c>
      <c r="U28" s="24">
        <v>98.7</v>
      </c>
      <c r="V28" s="24">
        <v>4.778374732083333</v>
      </c>
      <c r="W28" s="24">
        <v>0.24308167352175439</v>
      </c>
      <c r="X28" s="24">
        <v>4.5631067960999996</v>
      </c>
      <c r="Y28" s="24">
        <v>4.5909090909000003</v>
      </c>
      <c r="Z28" s="24">
        <v>5.0196078431000002</v>
      </c>
      <c r="AA28" s="24">
        <v>5.1212121212000001</v>
      </c>
      <c r="AB28" s="24">
        <v>100</v>
      </c>
      <c r="AC28" s="24">
        <v>2.592296279363143</v>
      </c>
      <c r="AD28" s="24">
        <v>104.1</v>
      </c>
      <c r="AE28" s="24">
        <v>100.65</v>
      </c>
      <c r="AF28" s="24">
        <v>97.8</v>
      </c>
      <c r="AG28" s="24">
        <v>96.75</v>
      </c>
    </row>
    <row r="29" spans="1:33">
      <c r="A29" s="66"/>
      <c r="B29" s="23" t="s">
        <v>41</v>
      </c>
      <c r="C29" s="23">
        <v>8</v>
      </c>
      <c r="D29" s="23">
        <v>8</v>
      </c>
      <c r="E29" s="27">
        <v>44</v>
      </c>
      <c r="F29" s="31">
        <v>5.5</v>
      </c>
      <c r="G29" s="23" t="s">
        <v>77</v>
      </c>
      <c r="H29" s="27">
        <v>8</v>
      </c>
      <c r="I29" s="33">
        <v>6</v>
      </c>
      <c r="J29" s="24">
        <v>5.5917561703750014</v>
      </c>
      <c r="K29" s="24">
        <v>0.56207423267446721</v>
      </c>
      <c r="L29" s="24">
        <v>4.6534653465</v>
      </c>
      <c r="M29" s="24">
        <v>5.4466019417</v>
      </c>
      <c r="N29" s="24">
        <v>5.7821782178000003</v>
      </c>
      <c r="O29" s="24">
        <v>6.54</v>
      </c>
      <c r="P29" s="24">
        <v>96.037499999999994</v>
      </c>
      <c r="Q29" s="24">
        <v>2.857040176726354</v>
      </c>
      <c r="R29" s="24">
        <v>100.35</v>
      </c>
      <c r="S29" s="24">
        <v>97.5</v>
      </c>
      <c r="T29" s="24">
        <v>93.3</v>
      </c>
      <c r="U29" s="24">
        <v>93</v>
      </c>
      <c r="V29" s="24">
        <v>5.5959023819250007</v>
      </c>
      <c r="W29" s="24">
        <v>0.5646966637644979</v>
      </c>
      <c r="X29" s="24">
        <v>4.6534653465</v>
      </c>
      <c r="Y29" s="24">
        <v>5.5090909091000002</v>
      </c>
      <c r="Z29" s="24">
        <v>5.7821782178000003</v>
      </c>
      <c r="AA29" s="24">
        <v>6.54</v>
      </c>
      <c r="AB29" s="24">
        <v>93.993749999999991</v>
      </c>
      <c r="AC29" s="24">
        <v>4.2433508911842628</v>
      </c>
      <c r="AD29" s="24">
        <v>100.35</v>
      </c>
      <c r="AE29" s="24">
        <v>93.15</v>
      </c>
      <c r="AF29" s="24">
        <v>92.55</v>
      </c>
      <c r="AG29" s="24">
        <v>88.05</v>
      </c>
    </row>
    <row r="30" spans="1:33">
      <c r="A30" s="66"/>
      <c r="B30" s="23" t="s">
        <v>42</v>
      </c>
      <c r="C30" s="23">
        <v>7</v>
      </c>
      <c r="D30" s="23">
        <v>7</v>
      </c>
      <c r="E30" s="27">
        <v>40</v>
      </c>
      <c r="F30" s="31">
        <v>5.7142857142857144</v>
      </c>
      <c r="G30" s="23" t="s">
        <v>77</v>
      </c>
      <c r="H30" s="27">
        <v>7</v>
      </c>
      <c r="I30" s="33">
        <v>6</v>
      </c>
      <c r="J30" s="24">
        <v>4.6653447417428584</v>
      </c>
      <c r="K30" s="24">
        <v>0.73681486261338924</v>
      </c>
      <c r="L30" s="24">
        <v>3.4107142857000001</v>
      </c>
      <c r="M30" s="24">
        <v>4.9619047618999996</v>
      </c>
      <c r="N30" s="24">
        <v>5.2830188679000001</v>
      </c>
      <c r="O30" s="24">
        <v>5.3163265305999996</v>
      </c>
      <c r="P30" s="24">
        <v>96.064285714285703</v>
      </c>
      <c r="Q30" s="24">
        <v>2.5906425016641301</v>
      </c>
      <c r="R30" s="24">
        <v>99.15</v>
      </c>
      <c r="S30" s="24">
        <v>96.6</v>
      </c>
      <c r="T30" s="24">
        <v>93.6</v>
      </c>
      <c r="U30" s="24">
        <v>92.1</v>
      </c>
      <c r="V30" s="24">
        <v>4.7436915151142864</v>
      </c>
      <c r="W30" s="24">
        <v>0.6149217394352563</v>
      </c>
      <c r="X30" s="24">
        <v>3.9285714286000002</v>
      </c>
      <c r="Y30" s="24">
        <v>5.0480769231</v>
      </c>
      <c r="Z30" s="24">
        <v>5.2830188679000001</v>
      </c>
      <c r="AA30" s="24">
        <v>5.3163265305999996</v>
      </c>
      <c r="AB30" s="24">
        <v>93.814285714285717</v>
      </c>
      <c r="AC30" s="24">
        <v>4.1414283250381807</v>
      </c>
      <c r="AD30" s="24">
        <v>98.85</v>
      </c>
      <c r="AE30" s="24">
        <v>95.4</v>
      </c>
      <c r="AF30" s="24">
        <v>90.45</v>
      </c>
      <c r="AG30" s="24">
        <v>87.45</v>
      </c>
    </row>
    <row r="31" spans="1:33">
      <c r="A31" s="65"/>
      <c r="B31" s="23" t="s">
        <v>43</v>
      </c>
      <c r="C31" s="23">
        <v>6</v>
      </c>
      <c r="D31" s="23">
        <v>6</v>
      </c>
      <c r="E31" s="27">
        <v>22</v>
      </c>
      <c r="F31" s="31">
        <v>3.6666666666666665</v>
      </c>
      <c r="G31" s="23" t="s">
        <v>77</v>
      </c>
      <c r="H31" s="27">
        <v>5</v>
      </c>
      <c r="I31" s="33">
        <v>4</v>
      </c>
      <c r="J31" s="24">
        <v>5.697691127783334</v>
      </c>
      <c r="K31" s="24">
        <v>0.52141720342367426</v>
      </c>
      <c r="L31" s="24">
        <v>4.9821428571000004</v>
      </c>
      <c r="M31" s="24">
        <v>5.66</v>
      </c>
      <c r="N31" s="24">
        <v>6.1171171171000003</v>
      </c>
      <c r="O31" s="24">
        <v>6.375</v>
      </c>
      <c r="P31" s="24">
        <v>84.975000000000009</v>
      </c>
      <c r="Q31" s="24">
        <v>1.9643701280563211</v>
      </c>
      <c r="R31" s="24">
        <v>87.9</v>
      </c>
      <c r="S31" s="24">
        <v>84.75</v>
      </c>
      <c r="T31" s="24">
        <v>83.55</v>
      </c>
      <c r="U31" s="24">
        <v>83.1</v>
      </c>
      <c r="V31" s="24">
        <v>5.7826240825199999</v>
      </c>
      <c r="W31" s="24">
        <v>0.44879064473864089</v>
      </c>
      <c r="X31" s="24">
        <v>5.1428571428999996</v>
      </c>
      <c r="Y31" s="24">
        <v>5.8018867925000004</v>
      </c>
      <c r="Z31" s="24">
        <v>6.1171171171000003</v>
      </c>
      <c r="AA31" s="24">
        <v>6.2743362832000003</v>
      </c>
      <c r="AB31" s="24">
        <v>81.47999999999999</v>
      </c>
      <c r="AC31" s="24">
        <v>2.6966646065093109</v>
      </c>
      <c r="AD31" s="24">
        <v>83.7</v>
      </c>
      <c r="AE31" s="24">
        <v>82.95</v>
      </c>
      <c r="AF31" s="24">
        <v>79.349999999999994</v>
      </c>
      <c r="AG31" s="24">
        <v>77.849999999999994</v>
      </c>
    </row>
    <row r="32" spans="1:33" ht="33">
      <c r="A32" s="64" t="s">
        <v>44</v>
      </c>
      <c r="B32" s="22" t="s">
        <v>125</v>
      </c>
      <c r="C32" s="23">
        <v>20</v>
      </c>
      <c r="D32" s="23">
        <v>20</v>
      </c>
      <c r="E32" s="27">
        <v>75</v>
      </c>
      <c r="F32" s="31">
        <v>3.75</v>
      </c>
      <c r="G32" s="23" t="s">
        <v>77</v>
      </c>
      <c r="H32" s="27">
        <v>18</v>
      </c>
      <c r="I32" s="33">
        <v>21</v>
      </c>
      <c r="J32" s="24">
        <v>5.1610247198949999</v>
      </c>
      <c r="K32" s="24">
        <v>0.49021730160671201</v>
      </c>
      <c r="L32" s="24">
        <v>3.9607843137000001</v>
      </c>
      <c r="M32" s="24">
        <v>5.2211538462</v>
      </c>
      <c r="N32" s="24">
        <v>5.4158415841999998</v>
      </c>
      <c r="O32" s="24">
        <v>5.9494949495</v>
      </c>
      <c r="P32" s="24">
        <v>82.327499999999986</v>
      </c>
      <c r="Q32" s="24">
        <v>4.9966166184308092</v>
      </c>
      <c r="R32" s="24">
        <v>94.8</v>
      </c>
      <c r="S32" s="24">
        <v>80.849999999999994</v>
      </c>
      <c r="T32" s="24">
        <v>78.45</v>
      </c>
      <c r="U32" s="24">
        <v>78</v>
      </c>
      <c r="V32" s="24">
        <v>5.5014723411944448</v>
      </c>
      <c r="W32" s="24">
        <v>0.34889854345303978</v>
      </c>
      <c r="X32" s="24">
        <v>4.3660714285999997</v>
      </c>
      <c r="Y32" s="24">
        <v>5.5688073394000002</v>
      </c>
      <c r="Z32" s="24">
        <v>5.6574074074</v>
      </c>
      <c r="AA32" s="24">
        <v>5.9494949495</v>
      </c>
      <c r="AB32" s="24">
        <v>76.199999999999989</v>
      </c>
      <c r="AC32" s="24">
        <v>4.2941136180480672</v>
      </c>
      <c r="AD32" s="24">
        <v>83.85</v>
      </c>
      <c r="AE32" s="24">
        <v>78</v>
      </c>
      <c r="AF32" s="24">
        <v>72.75</v>
      </c>
      <c r="AG32" s="24">
        <v>69.150000000000006</v>
      </c>
    </row>
    <row r="33" spans="1:33" ht="49.5">
      <c r="A33" s="66"/>
      <c r="B33" s="22" t="s">
        <v>126</v>
      </c>
      <c r="C33" s="23">
        <v>15</v>
      </c>
      <c r="D33" s="23">
        <v>15</v>
      </c>
      <c r="E33" s="27">
        <v>50</v>
      </c>
      <c r="F33" s="31">
        <v>3.3333333333333335</v>
      </c>
      <c r="G33" s="23" t="s">
        <v>77</v>
      </c>
      <c r="H33" s="27">
        <v>14</v>
      </c>
      <c r="I33" s="33">
        <v>9</v>
      </c>
      <c r="J33" s="24">
        <v>5.2931179677399998</v>
      </c>
      <c r="K33" s="24">
        <v>0.81329366362191546</v>
      </c>
      <c r="L33" s="24">
        <v>3.5794392522999998</v>
      </c>
      <c r="M33" s="24">
        <v>5.2857142857000001</v>
      </c>
      <c r="N33" s="24">
        <v>5.9714285713999997</v>
      </c>
      <c r="O33" s="24">
        <v>6.2524271845000001</v>
      </c>
      <c r="P33" s="24">
        <v>86.839999999999975</v>
      </c>
      <c r="Q33" s="24">
        <v>5.4031141813904764</v>
      </c>
      <c r="R33" s="24">
        <v>102.9</v>
      </c>
      <c r="S33" s="24">
        <v>84.45</v>
      </c>
      <c r="T33" s="24">
        <v>83.4</v>
      </c>
      <c r="U33" s="24">
        <v>82.8</v>
      </c>
      <c r="V33" s="24">
        <v>5.7857431754428577</v>
      </c>
      <c r="W33" s="24">
        <v>0.52082991896906439</v>
      </c>
      <c r="X33" s="24">
        <v>4.8584070796000001</v>
      </c>
      <c r="Y33" s="24">
        <v>5.8952380951999999</v>
      </c>
      <c r="Z33" s="24">
        <v>6.1818181817999998</v>
      </c>
      <c r="AA33" s="24">
        <v>6.6138613861</v>
      </c>
      <c r="AB33" s="24">
        <v>83.100000000000023</v>
      </c>
      <c r="AC33" s="24">
        <v>4.3342553259780656</v>
      </c>
      <c r="AD33" s="24">
        <v>91.5</v>
      </c>
      <c r="AE33" s="24">
        <v>83.25</v>
      </c>
      <c r="AF33" s="24">
        <v>79.8</v>
      </c>
      <c r="AG33" s="24">
        <v>76.8</v>
      </c>
    </row>
    <row r="34" spans="1:33" ht="33">
      <c r="A34" s="65"/>
      <c r="B34" s="22" t="s">
        <v>127</v>
      </c>
      <c r="C34" s="23">
        <v>8</v>
      </c>
      <c r="D34" s="23">
        <v>8</v>
      </c>
      <c r="E34" s="27">
        <v>57</v>
      </c>
      <c r="F34" s="31">
        <v>7.125</v>
      </c>
      <c r="G34" s="23" t="s">
        <v>77</v>
      </c>
      <c r="H34" s="27">
        <v>7</v>
      </c>
      <c r="I34" s="33">
        <v>13</v>
      </c>
      <c r="J34" s="24">
        <v>4.7740394415249998</v>
      </c>
      <c r="K34" s="24">
        <v>0.64007696739158182</v>
      </c>
      <c r="L34" s="24">
        <v>3.25</v>
      </c>
      <c r="M34" s="24">
        <v>4.9444444444000002</v>
      </c>
      <c r="N34" s="24">
        <v>5.0925925926</v>
      </c>
      <c r="O34" s="24">
        <v>5.2574257425999997</v>
      </c>
      <c r="P34" s="24">
        <v>90.524999999999991</v>
      </c>
      <c r="Q34" s="24">
        <v>1.4342743312012709</v>
      </c>
      <c r="R34" s="24">
        <v>92.85</v>
      </c>
      <c r="S34" s="24">
        <v>89.85</v>
      </c>
      <c r="T34" s="24">
        <v>89.55</v>
      </c>
      <c r="U34" s="24">
        <v>89.25</v>
      </c>
      <c r="V34" s="24">
        <v>5.3153768327428574</v>
      </c>
      <c r="W34" s="24">
        <v>0.39539286132712759</v>
      </c>
      <c r="X34" s="24">
        <v>4.72</v>
      </c>
      <c r="Y34" s="24">
        <v>5.2920353982000004</v>
      </c>
      <c r="Z34" s="24">
        <v>5.5849056603999996</v>
      </c>
      <c r="AA34" s="24">
        <v>5.9</v>
      </c>
      <c r="AB34" s="24">
        <v>87.342857142857142</v>
      </c>
      <c r="AC34" s="24">
        <v>4.0003571269146869</v>
      </c>
      <c r="AD34" s="24">
        <v>92.85</v>
      </c>
      <c r="AE34" s="24">
        <v>86.7</v>
      </c>
      <c r="AF34" s="24">
        <v>83.4</v>
      </c>
      <c r="AG34" s="24">
        <v>83.25</v>
      </c>
    </row>
    <row r="35" spans="1:33">
      <c r="A35" s="64" t="s">
        <v>45</v>
      </c>
      <c r="B35" s="23" t="s">
        <v>46</v>
      </c>
      <c r="C35" s="23">
        <v>5</v>
      </c>
      <c r="D35" s="23">
        <v>5</v>
      </c>
      <c r="E35" s="27">
        <v>45</v>
      </c>
      <c r="F35" s="31">
        <v>9</v>
      </c>
      <c r="G35" s="23" t="s">
        <v>77</v>
      </c>
      <c r="H35" s="27">
        <v>5</v>
      </c>
      <c r="I35" s="33">
        <v>4</v>
      </c>
      <c r="J35" s="24">
        <v>5.0407308409399993</v>
      </c>
      <c r="K35" s="24">
        <v>0.58306884861661534</v>
      </c>
      <c r="L35" s="24">
        <v>4.2519083969000002</v>
      </c>
      <c r="M35" s="24">
        <v>5.0142857142999997</v>
      </c>
      <c r="N35" s="24">
        <v>5.2380952380999997</v>
      </c>
      <c r="O35" s="24">
        <v>5.8532110091999998</v>
      </c>
      <c r="P35" s="24">
        <v>112.05</v>
      </c>
      <c r="Q35" s="24">
        <v>0.8681877677092642</v>
      </c>
      <c r="R35" s="24">
        <v>112.95</v>
      </c>
      <c r="S35" s="24">
        <v>112.2</v>
      </c>
      <c r="T35" s="24">
        <v>111.15</v>
      </c>
      <c r="U35" s="24">
        <v>111.15</v>
      </c>
      <c r="V35" s="24">
        <v>5.3219582245399986</v>
      </c>
      <c r="W35" s="24">
        <v>0.51503524851438942</v>
      </c>
      <c r="X35" s="24">
        <v>4.8461538462</v>
      </c>
      <c r="Y35" s="24">
        <v>5.0892857142999999</v>
      </c>
      <c r="Z35" s="24">
        <v>5.8532110091999998</v>
      </c>
      <c r="AA35" s="24">
        <v>5.9017857142999999</v>
      </c>
      <c r="AB35" s="24">
        <v>110.37</v>
      </c>
      <c r="AC35" s="24">
        <v>1.7792554622650489</v>
      </c>
      <c r="AD35" s="24">
        <v>112.95</v>
      </c>
      <c r="AE35" s="24">
        <v>110.1</v>
      </c>
      <c r="AF35" s="24">
        <v>109.35</v>
      </c>
      <c r="AG35" s="24">
        <v>108.3</v>
      </c>
    </row>
    <row r="36" spans="1:33">
      <c r="A36" s="65"/>
      <c r="B36" s="23" t="s">
        <v>48</v>
      </c>
      <c r="C36" s="23">
        <v>6</v>
      </c>
      <c r="D36" s="23">
        <v>6</v>
      </c>
      <c r="E36" s="27">
        <v>48</v>
      </c>
      <c r="F36" s="31">
        <v>8</v>
      </c>
      <c r="G36" s="23" t="s">
        <v>77</v>
      </c>
      <c r="H36" s="27">
        <v>6</v>
      </c>
      <c r="I36" s="33">
        <v>8</v>
      </c>
      <c r="J36" s="24">
        <v>4.5150483985166661</v>
      </c>
      <c r="K36" s="24">
        <v>0.43546105795306711</v>
      </c>
      <c r="L36" s="24">
        <v>4.0462962963000004</v>
      </c>
      <c r="M36" s="24">
        <v>4.2410714285999997</v>
      </c>
      <c r="N36" s="24">
        <v>4.8141592920000003</v>
      </c>
      <c r="O36" s="24">
        <v>5.0901639343999996</v>
      </c>
      <c r="P36" s="24">
        <v>114.925</v>
      </c>
      <c r="Q36" s="24">
        <v>1.4180091678123929</v>
      </c>
      <c r="R36" s="24">
        <v>116.85</v>
      </c>
      <c r="S36" s="24">
        <v>115.2</v>
      </c>
      <c r="T36" s="24">
        <v>114.75</v>
      </c>
      <c r="U36" s="24">
        <v>112.5</v>
      </c>
      <c r="V36" s="24">
        <v>4.7940682289666663</v>
      </c>
      <c r="W36" s="24">
        <v>0.61798756295935253</v>
      </c>
      <c r="X36" s="24">
        <v>4.1142857143000002</v>
      </c>
      <c r="Y36" s="24">
        <v>4.5398230088</v>
      </c>
      <c r="Z36" s="24">
        <v>5.5096153846</v>
      </c>
      <c r="AA36" s="24">
        <v>5.5454545455000002</v>
      </c>
      <c r="AB36" s="24">
        <v>112.25</v>
      </c>
      <c r="AC36" s="24">
        <v>3.274904578762559</v>
      </c>
      <c r="AD36" s="24">
        <v>116.85</v>
      </c>
      <c r="AE36" s="24">
        <v>112.5</v>
      </c>
      <c r="AF36" s="24">
        <v>109.2</v>
      </c>
      <c r="AG36" s="24">
        <v>108.15</v>
      </c>
    </row>
    <row r="37" spans="1:33">
      <c r="A37" s="23" t="s">
        <v>49</v>
      </c>
      <c r="B37" s="23" t="s">
        <v>50</v>
      </c>
      <c r="C37" s="23">
        <v>9</v>
      </c>
      <c r="D37" s="23">
        <v>9</v>
      </c>
      <c r="E37" s="27">
        <v>101</v>
      </c>
      <c r="F37" s="31">
        <v>11.222222222222221</v>
      </c>
      <c r="G37" s="23" t="s">
        <v>77</v>
      </c>
      <c r="H37" s="27">
        <v>9</v>
      </c>
      <c r="I37" s="33">
        <v>10</v>
      </c>
      <c r="J37" s="24">
        <v>4.1264347418777776</v>
      </c>
      <c r="K37" s="24">
        <v>0.2063205581099975</v>
      </c>
      <c r="L37" s="24">
        <v>3.8144329897000002</v>
      </c>
      <c r="M37" s="24">
        <v>4.0270270269999999</v>
      </c>
      <c r="N37" s="24">
        <v>4.33</v>
      </c>
      <c r="O37" s="24">
        <v>4.3899999999999997</v>
      </c>
      <c r="P37" s="24">
        <v>102.3833333333333</v>
      </c>
      <c r="Q37" s="24">
        <v>4.3390667199295301</v>
      </c>
      <c r="R37" s="24">
        <v>109.5</v>
      </c>
      <c r="S37" s="24">
        <v>100.2</v>
      </c>
      <c r="T37" s="24">
        <v>99.45</v>
      </c>
      <c r="U37" s="24">
        <v>98.25</v>
      </c>
      <c r="V37" s="24">
        <v>4.3404532467555557</v>
      </c>
      <c r="W37" s="24">
        <v>0.28853888611903822</v>
      </c>
      <c r="X37" s="24">
        <v>3.8144329897000002</v>
      </c>
      <c r="Y37" s="24">
        <v>4.33</v>
      </c>
      <c r="Z37" s="24">
        <v>4.5327102803999999</v>
      </c>
      <c r="AA37" s="24">
        <v>4.7238095238</v>
      </c>
      <c r="AB37" s="24">
        <v>97.566666666666663</v>
      </c>
      <c r="AC37" s="24">
        <v>5.239334404292209</v>
      </c>
      <c r="AD37" s="24">
        <v>109.5</v>
      </c>
      <c r="AE37" s="24">
        <v>96.45</v>
      </c>
      <c r="AF37" s="24">
        <v>94.65</v>
      </c>
      <c r="AG37" s="24">
        <v>91.2</v>
      </c>
    </row>
    <row r="38" spans="1:33">
      <c r="A38" s="23" t="s">
        <v>111</v>
      </c>
      <c r="B38" s="23" t="s">
        <v>62</v>
      </c>
      <c r="C38" s="23">
        <v>16</v>
      </c>
      <c r="D38" s="23">
        <v>28</v>
      </c>
      <c r="E38" s="27">
        <v>166</v>
      </c>
      <c r="F38" s="31">
        <v>5.9285714285714288</v>
      </c>
      <c r="G38" s="23" t="s">
        <v>77</v>
      </c>
      <c r="H38" s="27">
        <v>28</v>
      </c>
      <c r="I38" s="33">
        <v>20</v>
      </c>
      <c r="J38" s="24">
        <v>4.8866290374535719</v>
      </c>
      <c r="K38" s="24">
        <v>0.30557312467244141</v>
      </c>
      <c r="L38" s="24">
        <v>4.1346153846</v>
      </c>
      <c r="M38" s="24">
        <v>4.8613861386000004</v>
      </c>
      <c r="N38" s="24">
        <v>5.0727272726999999</v>
      </c>
      <c r="O38" s="24">
        <v>5.4035087719000003</v>
      </c>
      <c r="P38" s="24">
        <v>87.771428571428572</v>
      </c>
      <c r="Q38" s="24">
        <v>5.7592988991303278</v>
      </c>
      <c r="R38" s="24">
        <v>99</v>
      </c>
      <c r="S38" s="24">
        <v>85.65</v>
      </c>
      <c r="T38" s="24">
        <v>83.25</v>
      </c>
      <c r="U38" s="24">
        <v>81.3</v>
      </c>
      <c r="V38" s="24">
        <v>4.9995363028321416</v>
      </c>
      <c r="W38" s="24">
        <v>0.37997995056470668</v>
      </c>
      <c r="X38" s="24">
        <v>4.1346153846</v>
      </c>
      <c r="Y38" s="24">
        <v>4.9727272727000003</v>
      </c>
      <c r="Z38" s="24">
        <v>5.2752293577999998</v>
      </c>
      <c r="AA38" s="24">
        <v>5.7090909091000004</v>
      </c>
      <c r="AB38" s="24">
        <v>83.678571428571431</v>
      </c>
      <c r="AC38" s="24">
        <v>7.4904065628102243</v>
      </c>
      <c r="AD38" s="24">
        <v>99</v>
      </c>
      <c r="AE38" s="24">
        <v>81.900000000000006</v>
      </c>
      <c r="AF38" s="24">
        <v>78.45</v>
      </c>
      <c r="AG38" s="24">
        <v>74.55</v>
      </c>
    </row>
    <row r="39" spans="1:33">
      <c r="A39" s="64" t="s">
        <v>51</v>
      </c>
      <c r="B39" s="23" t="s">
        <v>52</v>
      </c>
      <c r="C39" s="23">
        <v>27</v>
      </c>
      <c r="D39" s="23">
        <v>27</v>
      </c>
      <c r="E39" s="27">
        <v>153</v>
      </c>
      <c r="F39" s="31">
        <v>5.666666666666667</v>
      </c>
      <c r="G39" s="23" t="s">
        <v>77</v>
      </c>
      <c r="H39" s="27">
        <v>27</v>
      </c>
      <c r="I39" s="33">
        <v>23</v>
      </c>
      <c r="J39" s="24">
        <v>4.5383132846037038</v>
      </c>
      <c r="K39" s="24">
        <v>0.30474067976118158</v>
      </c>
      <c r="L39" s="24">
        <v>3.7029702969999998</v>
      </c>
      <c r="M39" s="24">
        <v>4.5929203540000003</v>
      </c>
      <c r="N39" s="24">
        <v>4.7857142857000001</v>
      </c>
      <c r="O39" s="24">
        <v>5.0421052631999999</v>
      </c>
      <c r="P39" s="24">
        <v>98.088888888888889</v>
      </c>
      <c r="Q39" s="24">
        <v>5.6294099522291337</v>
      </c>
      <c r="R39" s="24">
        <v>107.4</v>
      </c>
      <c r="S39" s="24">
        <v>99.9</v>
      </c>
      <c r="T39" s="24">
        <v>92.55</v>
      </c>
      <c r="U39" s="24">
        <v>88.05</v>
      </c>
      <c r="V39" s="24">
        <v>4.7967274371777773</v>
      </c>
      <c r="W39" s="24">
        <v>0.44079287095944192</v>
      </c>
      <c r="X39" s="24">
        <v>3.7029702969999998</v>
      </c>
      <c r="Y39" s="24">
        <v>4.8198198198000002</v>
      </c>
      <c r="Z39" s="24">
        <v>5.0999999999999996</v>
      </c>
      <c r="AA39" s="24">
        <v>5.4649122807000001</v>
      </c>
      <c r="AB39" s="24">
        <v>92.538888888888891</v>
      </c>
      <c r="AC39" s="24">
        <v>7.9119108522109451</v>
      </c>
      <c r="AD39" s="24">
        <v>107.4</v>
      </c>
      <c r="AE39" s="24">
        <v>90</v>
      </c>
      <c r="AF39" s="24">
        <v>85.2</v>
      </c>
      <c r="AG39" s="24">
        <v>83.7</v>
      </c>
    </row>
    <row r="40" spans="1:33">
      <c r="A40" s="66"/>
      <c r="B40" s="23" t="s">
        <v>53</v>
      </c>
      <c r="C40" s="23">
        <v>27</v>
      </c>
      <c r="D40" s="23">
        <v>27</v>
      </c>
      <c r="E40" s="27">
        <v>302</v>
      </c>
      <c r="F40" s="31">
        <v>11.185185185185185</v>
      </c>
      <c r="G40" s="23" t="s">
        <v>77</v>
      </c>
      <c r="H40" s="27">
        <v>27</v>
      </c>
      <c r="I40" s="33">
        <v>20</v>
      </c>
      <c r="J40" s="24">
        <v>3.144054517440741</v>
      </c>
      <c r="K40" s="24">
        <v>0.22850034026506921</v>
      </c>
      <c r="L40" s="24">
        <v>2.6095238095000002</v>
      </c>
      <c r="M40" s="24">
        <v>3.1694915253999998</v>
      </c>
      <c r="N40" s="24">
        <v>3.3070175438999998</v>
      </c>
      <c r="O40" s="24">
        <v>3.5981308411000001</v>
      </c>
      <c r="P40" s="24">
        <v>101.12777777777779</v>
      </c>
      <c r="Q40" s="24">
        <v>2.3956825482093551</v>
      </c>
      <c r="R40" s="24">
        <v>107.55</v>
      </c>
      <c r="S40" s="24">
        <v>101.4</v>
      </c>
      <c r="T40" s="24">
        <v>99</v>
      </c>
      <c r="U40" s="24">
        <v>98.25</v>
      </c>
      <c r="V40" s="24">
        <v>3.2956546808370368</v>
      </c>
      <c r="W40" s="24">
        <v>0.16707653668834871</v>
      </c>
      <c r="X40" s="24">
        <v>3</v>
      </c>
      <c r="Y40" s="24">
        <v>3.3070175438999998</v>
      </c>
      <c r="Z40" s="24">
        <v>3.4134615385</v>
      </c>
      <c r="AA40" s="24">
        <v>3.6982758621</v>
      </c>
      <c r="AB40" s="24">
        <v>98.561111111111117</v>
      </c>
      <c r="AC40" s="24">
        <v>2.2001893857878079</v>
      </c>
      <c r="AD40" s="24">
        <v>103.05</v>
      </c>
      <c r="AE40" s="24">
        <v>98.1</v>
      </c>
      <c r="AF40" s="24">
        <v>96.9</v>
      </c>
      <c r="AG40" s="24">
        <v>95.7</v>
      </c>
    </row>
    <row r="41" spans="1:33">
      <c r="A41" s="66"/>
      <c r="B41" s="23" t="s">
        <v>54</v>
      </c>
      <c r="C41" s="23">
        <v>9</v>
      </c>
      <c r="D41" s="23">
        <v>9</v>
      </c>
      <c r="E41" s="27">
        <v>163</v>
      </c>
      <c r="F41" s="31">
        <v>18.111111111111111</v>
      </c>
      <c r="G41" s="23" t="s">
        <v>77</v>
      </c>
      <c r="H41" s="27">
        <v>9</v>
      </c>
      <c r="I41" s="33">
        <v>5</v>
      </c>
      <c r="J41" s="24">
        <v>4.2114120981777781</v>
      </c>
      <c r="K41" s="24">
        <v>0.36736611531516228</v>
      </c>
      <c r="L41" s="24">
        <v>3.7472527473000001</v>
      </c>
      <c r="M41" s="24">
        <v>4.1858407079999997</v>
      </c>
      <c r="N41" s="24">
        <v>4.2429906541999998</v>
      </c>
      <c r="O41" s="24">
        <v>4.8807339450000002</v>
      </c>
      <c r="P41" s="24">
        <v>107.65</v>
      </c>
      <c r="Q41" s="24">
        <v>3.5921790044484139</v>
      </c>
      <c r="R41" s="24">
        <v>113.25</v>
      </c>
      <c r="S41" s="24">
        <v>107.4</v>
      </c>
      <c r="T41" s="24">
        <v>105.15</v>
      </c>
      <c r="U41" s="24">
        <v>102.75</v>
      </c>
      <c r="V41" s="24">
        <v>4.5201188712666669</v>
      </c>
      <c r="W41" s="24">
        <v>0.37757950238922922</v>
      </c>
      <c r="X41" s="24">
        <v>4.0493827160000002</v>
      </c>
      <c r="Y41" s="24">
        <v>4.6698113208000001</v>
      </c>
      <c r="Z41" s="24">
        <v>4.7837837837999997</v>
      </c>
      <c r="AA41" s="24">
        <v>5.0288461538</v>
      </c>
      <c r="AB41" s="24">
        <v>104.3</v>
      </c>
      <c r="AC41" s="24">
        <v>6.6382414840076436</v>
      </c>
      <c r="AD41" s="24">
        <v>113.25</v>
      </c>
      <c r="AE41" s="24">
        <v>103.5</v>
      </c>
      <c r="AF41" s="24">
        <v>97.95</v>
      </c>
      <c r="AG41" s="24">
        <v>97.65</v>
      </c>
    </row>
    <row r="42" spans="1:33">
      <c r="A42" s="66"/>
      <c r="B42" s="23" t="s">
        <v>55</v>
      </c>
      <c r="C42" s="23">
        <v>9</v>
      </c>
      <c r="D42" s="23">
        <v>9</v>
      </c>
      <c r="E42" s="27">
        <v>63</v>
      </c>
      <c r="F42" s="31">
        <v>7</v>
      </c>
      <c r="G42" s="23" t="s">
        <v>77</v>
      </c>
      <c r="H42" s="27">
        <v>9</v>
      </c>
      <c r="I42" s="33">
        <v>3</v>
      </c>
      <c r="J42" s="24">
        <v>5.0584357927444437</v>
      </c>
      <c r="K42" s="24">
        <v>0.40097841284641939</v>
      </c>
      <c r="L42" s="24">
        <v>4.5495495495</v>
      </c>
      <c r="M42" s="24">
        <v>4.9459459459000001</v>
      </c>
      <c r="N42" s="24">
        <v>5.32</v>
      </c>
      <c r="O42" s="24">
        <v>5.8796296296000001</v>
      </c>
      <c r="P42" s="24">
        <v>105.7</v>
      </c>
      <c r="Q42" s="24">
        <v>3.849188226106901</v>
      </c>
      <c r="R42" s="24">
        <v>110.55</v>
      </c>
      <c r="S42" s="24">
        <v>106.35</v>
      </c>
      <c r="T42" s="24">
        <v>101.55</v>
      </c>
      <c r="U42" s="24">
        <v>100.95</v>
      </c>
      <c r="V42" s="24">
        <v>5.1708631126111113</v>
      </c>
      <c r="W42" s="24">
        <v>0.49087422179753609</v>
      </c>
      <c r="X42" s="24">
        <v>4.5495495495</v>
      </c>
      <c r="Y42" s="24">
        <v>5.0679611649999998</v>
      </c>
      <c r="Z42" s="24">
        <v>5.3539823009000003</v>
      </c>
      <c r="AA42" s="24">
        <v>5.9238095238000001</v>
      </c>
      <c r="AB42" s="24">
        <v>104.3833333333333</v>
      </c>
      <c r="AC42" s="24">
        <v>3.9426355398388022</v>
      </c>
      <c r="AD42" s="24">
        <v>110.25</v>
      </c>
      <c r="AE42" s="24">
        <v>104.25</v>
      </c>
      <c r="AF42" s="24">
        <v>100.95</v>
      </c>
      <c r="AG42" s="24">
        <v>100.05</v>
      </c>
    </row>
    <row r="43" spans="1:33">
      <c r="A43" s="65"/>
      <c r="B43" s="23" t="s">
        <v>56</v>
      </c>
      <c r="C43" s="23">
        <v>7</v>
      </c>
      <c r="D43" s="23">
        <v>6</v>
      </c>
      <c r="E43" s="27">
        <v>152</v>
      </c>
      <c r="F43" s="31">
        <v>25.333333333333332</v>
      </c>
      <c r="G43" s="23" t="s">
        <v>77</v>
      </c>
      <c r="H43" s="27">
        <v>7</v>
      </c>
      <c r="I43" s="33">
        <v>14</v>
      </c>
      <c r="J43" s="24">
        <v>4.2462071826000001</v>
      </c>
      <c r="K43" s="24">
        <v>0.22085761546636951</v>
      </c>
      <c r="L43" s="24">
        <v>3.963963964</v>
      </c>
      <c r="M43" s="24">
        <v>4.2551020407999998</v>
      </c>
      <c r="N43" s="24">
        <v>4.4017094016999998</v>
      </c>
      <c r="O43" s="24">
        <v>4.5370370370000002</v>
      </c>
      <c r="P43" s="24">
        <v>101</v>
      </c>
      <c r="Q43" s="24">
        <v>3.8144462245521309</v>
      </c>
      <c r="R43" s="24">
        <v>106.65</v>
      </c>
      <c r="S43" s="24">
        <v>102.3</v>
      </c>
      <c r="T43" s="24">
        <v>97.95</v>
      </c>
      <c r="U43" s="24">
        <v>96.9</v>
      </c>
      <c r="V43" s="24">
        <v>4.404770929142857</v>
      </c>
      <c r="W43" s="24">
        <v>0.17049023903993701</v>
      </c>
      <c r="X43" s="24">
        <v>4.1538461538</v>
      </c>
      <c r="Y43" s="24">
        <v>4.4035087719000003</v>
      </c>
      <c r="Z43" s="24">
        <v>4.4272727273000001</v>
      </c>
      <c r="AA43" s="24">
        <v>4.7209302325999998</v>
      </c>
      <c r="AB43" s="24">
        <v>93.19285714285715</v>
      </c>
      <c r="AC43" s="24">
        <v>5.5606076235297488</v>
      </c>
      <c r="AD43" s="24">
        <v>102.3</v>
      </c>
      <c r="AE43" s="24">
        <v>90.6</v>
      </c>
      <c r="AF43" s="24">
        <v>88.05</v>
      </c>
      <c r="AG43" s="24">
        <v>88.05</v>
      </c>
    </row>
    <row r="44" spans="1:33">
      <c r="A44" s="64" t="s">
        <v>57</v>
      </c>
      <c r="B44" s="23" t="s">
        <v>58</v>
      </c>
      <c r="C44" s="23">
        <v>9</v>
      </c>
      <c r="D44" s="23">
        <v>9</v>
      </c>
      <c r="E44" s="27">
        <v>66</v>
      </c>
      <c r="F44" s="31">
        <v>7.333333333333333</v>
      </c>
      <c r="G44" s="23" t="s">
        <v>77</v>
      </c>
      <c r="H44" s="27">
        <v>9</v>
      </c>
      <c r="I44" s="33">
        <v>14</v>
      </c>
      <c r="J44" s="24">
        <v>5.0967344930666663</v>
      </c>
      <c r="K44" s="24">
        <v>0.44351571154734232</v>
      </c>
      <c r="L44" s="24">
        <v>4.3518518519000002</v>
      </c>
      <c r="M44" s="24">
        <v>5.1009174312000001</v>
      </c>
      <c r="N44" s="24">
        <v>5.4901960784000003</v>
      </c>
      <c r="O44" s="24">
        <v>5.6728971963000001</v>
      </c>
      <c r="P44" s="24">
        <v>96.11666666666666</v>
      </c>
      <c r="Q44" s="24">
        <v>2.7879203718901291</v>
      </c>
      <c r="R44" s="24">
        <v>100.35</v>
      </c>
      <c r="S44" s="24">
        <v>96.15</v>
      </c>
      <c r="T44" s="24">
        <v>93.9</v>
      </c>
      <c r="U44" s="24">
        <v>92.25</v>
      </c>
      <c r="V44" s="24">
        <v>5.1410046512999994</v>
      </c>
      <c r="W44" s="24">
        <v>1.08257994270024</v>
      </c>
      <c r="X44" s="24">
        <v>2.6</v>
      </c>
      <c r="Y44" s="24">
        <v>5.5555555555999998</v>
      </c>
      <c r="Z44" s="24">
        <v>5.8173076923</v>
      </c>
      <c r="AA44" s="24">
        <v>6.0729166667000003</v>
      </c>
      <c r="AB44" s="24">
        <v>90.8</v>
      </c>
      <c r="AC44" s="24">
        <v>5.4621424368099358</v>
      </c>
      <c r="AD44" s="24">
        <v>97.8</v>
      </c>
      <c r="AE44" s="24">
        <v>90.15</v>
      </c>
      <c r="AF44" s="24">
        <v>86.55</v>
      </c>
      <c r="AG44" s="24">
        <v>83.4</v>
      </c>
    </row>
    <row r="45" spans="1:33">
      <c r="A45" s="66"/>
      <c r="B45" s="23" t="s">
        <v>59</v>
      </c>
      <c r="C45" s="23">
        <v>8</v>
      </c>
      <c r="D45" s="23">
        <v>8</v>
      </c>
      <c r="E45" s="27">
        <v>49</v>
      </c>
      <c r="F45" s="31">
        <v>6.125</v>
      </c>
      <c r="G45" s="23" t="s">
        <v>77</v>
      </c>
      <c r="H45" s="27">
        <v>8</v>
      </c>
      <c r="I45" s="33">
        <v>7</v>
      </c>
      <c r="J45" s="24">
        <v>4.7280740381124993</v>
      </c>
      <c r="K45" s="24">
        <v>0.36653209508381412</v>
      </c>
      <c r="L45" s="24">
        <v>4.2695652174000003</v>
      </c>
      <c r="M45" s="24">
        <v>4.7378640777000003</v>
      </c>
      <c r="N45" s="24">
        <v>4.8958333332999997</v>
      </c>
      <c r="O45" s="24">
        <v>5.3809523810000002</v>
      </c>
      <c r="P45" s="24">
        <v>76.912499999999994</v>
      </c>
      <c r="Q45" s="24">
        <v>3.201868873910092</v>
      </c>
      <c r="R45" s="24">
        <v>81.3</v>
      </c>
      <c r="S45" s="24">
        <v>76.05</v>
      </c>
      <c r="T45" s="24">
        <v>75.599999999999994</v>
      </c>
      <c r="U45" s="24">
        <v>72.75</v>
      </c>
      <c r="V45" s="24">
        <v>5.0552224054624997</v>
      </c>
      <c r="W45" s="24">
        <v>0.23956215596363939</v>
      </c>
      <c r="X45" s="24">
        <v>4.5728155340000001</v>
      </c>
      <c r="Y45" s="24">
        <v>5.0721649485000002</v>
      </c>
      <c r="Z45" s="24">
        <v>5.1588785046999996</v>
      </c>
      <c r="AA45" s="24">
        <v>5.3877551019999999</v>
      </c>
      <c r="AB45" s="24">
        <v>72.506249999999994</v>
      </c>
      <c r="AC45" s="24">
        <v>1.491269234099404</v>
      </c>
      <c r="AD45" s="24">
        <v>75.599999999999994</v>
      </c>
      <c r="AE45" s="24">
        <v>72.150000000000006</v>
      </c>
      <c r="AF45" s="24">
        <v>72</v>
      </c>
      <c r="AG45" s="24">
        <v>70.8</v>
      </c>
    </row>
    <row r="46" spans="1:33">
      <c r="A46" s="66"/>
      <c r="B46" s="23" t="s">
        <v>60</v>
      </c>
      <c r="C46" s="23">
        <v>7</v>
      </c>
      <c r="D46" s="23">
        <v>7</v>
      </c>
      <c r="E46" s="27">
        <v>45</v>
      </c>
      <c r="F46" s="31">
        <v>6.4285714285714288</v>
      </c>
      <c r="G46" s="23" t="s">
        <v>77</v>
      </c>
      <c r="H46" s="27">
        <v>7</v>
      </c>
      <c r="I46" s="33">
        <v>8</v>
      </c>
      <c r="J46" s="24">
        <v>5.4143842634142851</v>
      </c>
      <c r="K46" s="24">
        <v>0.64230780732003157</v>
      </c>
      <c r="L46" s="24">
        <v>4.4636363636</v>
      </c>
      <c r="M46" s="24">
        <v>5.8613861386000004</v>
      </c>
      <c r="N46" s="24">
        <v>5.9</v>
      </c>
      <c r="O46" s="24">
        <v>6</v>
      </c>
      <c r="P46" s="24">
        <v>94.178571428571416</v>
      </c>
      <c r="Q46" s="24">
        <v>3.7951566879002909</v>
      </c>
      <c r="R46" s="24">
        <v>100.65</v>
      </c>
      <c r="S46" s="24">
        <v>92.55</v>
      </c>
      <c r="T46" s="24">
        <v>91.2</v>
      </c>
      <c r="U46" s="24">
        <v>89.85</v>
      </c>
      <c r="V46" s="24">
        <v>5.9259096785857146</v>
      </c>
      <c r="W46" s="24">
        <v>0.77845941558412934</v>
      </c>
      <c r="X46" s="24">
        <v>5.0272727272999997</v>
      </c>
      <c r="Y46" s="24">
        <v>5.8828828828999997</v>
      </c>
      <c r="Z46" s="24">
        <v>6.4509803922</v>
      </c>
      <c r="AA46" s="24">
        <v>7.2190476190000004</v>
      </c>
      <c r="AB46" s="24">
        <v>88.864285714285714</v>
      </c>
      <c r="AC46" s="24">
        <v>1.5728727130408799</v>
      </c>
      <c r="AD46" s="24">
        <v>91.2</v>
      </c>
      <c r="AE46" s="24">
        <v>89.1</v>
      </c>
      <c r="AF46" s="24">
        <v>87.3</v>
      </c>
      <c r="AG46" s="24">
        <v>86.55</v>
      </c>
    </row>
    <row r="47" spans="1:33">
      <c r="A47" s="65"/>
      <c r="B47" s="23" t="s">
        <v>61</v>
      </c>
      <c r="C47" s="23">
        <v>8</v>
      </c>
      <c r="D47" s="23">
        <v>9</v>
      </c>
      <c r="E47" s="27">
        <v>48</v>
      </c>
      <c r="F47" s="31">
        <v>5.333333333333333</v>
      </c>
      <c r="G47" s="23" t="s">
        <v>77</v>
      </c>
      <c r="H47" s="27">
        <v>9</v>
      </c>
      <c r="I47" s="33">
        <v>1</v>
      </c>
      <c r="J47" s="24">
        <v>5.5208422421222219</v>
      </c>
      <c r="K47" s="24">
        <v>0.50593001796765336</v>
      </c>
      <c r="L47" s="24">
        <v>4.8333333332999997</v>
      </c>
      <c r="M47" s="24">
        <v>5.7383177569999999</v>
      </c>
      <c r="N47" s="24">
        <v>5.9142857143000001</v>
      </c>
      <c r="O47" s="24">
        <v>6.17</v>
      </c>
      <c r="P47" s="24">
        <v>90.116666666666674</v>
      </c>
      <c r="Q47" s="24">
        <v>5.9182450946205316</v>
      </c>
      <c r="R47" s="24">
        <v>100.8</v>
      </c>
      <c r="S47" s="24">
        <v>88.8</v>
      </c>
      <c r="T47" s="24">
        <v>85.2</v>
      </c>
      <c r="U47" s="24">
        <v>84.75</v>
      </c>
      <c r="V47" s="24">
        <v>5.6250682630111113</v>
      </c>
      <c r="W47" s="24">
        <v>0.45335889901689252</v>
      </c>
      <c r="X47" s="24">
        <v>4.8333333332999997</v>
      </c>
      <c r="Y47" s="24">
        <v>5.7428571429000002</v>
      </c>
      <c r="Z47" s="24">
        <v>5.9142857143000001</v>
      </c>
      <c r="AA47" s="24">
        <v>6.17</v>
      </c>
      <c r="AB47" s="24">
        <v>88.516666666666666</v>
      </c>
      <c r="AC47" s="24">
        <v>5.1074088342328734</v>
      </c>
      <c r="AD47" s="24">
        <v>100.8</v>
      </c>
      <c r="AE47" s="24">
        <v>87.9</v>
      </c>
      <c r="AF47" s="24">
        <v>84.9</v>
      </c>
      <c r="AG47" s="24">
        <v>84.6</v>
      </c>
    </row>
    <row r="48" spans="1:33">
      <c r="A48" s="23" t="s">
        <v>63</v>
      </c>
      <c r="B48" s="23" t="s">
        <v>64</v>
      </c>
      <c r="C48" s="23">
        <v>20</v>
      </c>
      <c r="D48" s="23">
        <v>20</v>
      </c>
      <c r="E48" s="27">
        <v>174</v>
      </c>
      <c r="F48" s="31">
        <v>8.6999999999999993</v>
      </c>
      <c r="G48" s="23" t="s">
        <v>77</v>
      </c>
      <c r="H48" s="27">
        <v>20</v>
      </c>
      <c r="I48" s="33">
        <v>29</v>
      </c>
      <c r="J48" s="24">
        <v>4.6831874241099998</v>
      </c>
      <c r="K48" s="24">
        <v>0.38999466549633949</v>
      </c>
      <c r="L48" s="24">
        <v>3.9134615385</v>
      </c>
      <c r="M48" s="24">
        <v>4.5925925926</v>
      </c>
      <c r="N48" s="24">
        <v>4.9191919192000002</v>
      </c>
      <c r="O48" s="24">
        <v>5.5098039215999997</v>
      </c>
      <c r="P48" s="24">
        <v>96.48</v>
      </c>
      <c r="Q48" s="24">
        <v>2.8383835281074301</v>
      </c>
      <c r="R48" s="24">
        <v>102.9</v>
      </c>
      <c r="S48" s="24">
        <v>95.7</v>
      </c>
      <c r="T48" s="24">
        <v>94.2</v>
      </c>
      <c r="U48" s="24">
        <v>92.7</v>
      </c>
      <c r="V48" s="24">
        <v>5.0425089354350003</v>
      </c>
      <c r="W48" s="24">
        <v>0.5200409153798945</v>
      </c>
      <c r="X48" s="24">
        <v>4.0555555555999998</v>
      </c>
      <c r="Y48" s="24">
        <v>5</v>
      </c>
      <c r="Z48" s="24">
        <v>5.5</v>
      </c>
      <c r="AA48" s="24">
        <v>5.8217821782000003</v>
      </c>
      <c r="AB48" s="24">
        <v>91.387500000000017</v>
      </c>
      <c r="AC48" s="24">
        <v>5.1890541425906189</v>
      </c>
      <c r="AD48" s="24">
        <v>101.4</v>
      </c>
      <c r="AE48" s="24">
        <v>91.8</v>
      </c>
      <c r="AF48" s="24">
        <v>88.5</v>
      </c>
      <c r="AG48" s="24">
        <v>82.8</v>
      </c>
    </row>
    <row r="49" spans="1:33">
      <c r="A49" s="23" t="s">
        <v>65</v>
      </c>
      <c r="B49" s="23" t="s">
        <v>66</v>
      </c>
      <c r="C49" s="23">
        <v>24</v>
      </c>
      <c r="D49" s="23">
        <v>24</v>
      </c>
      <c r="E49" s="27">
        <v>106</v>
      </c>
      <c r="F49" s="31">
        <v>4.416666666666667</v>
      </c>
      <c r="G49" s="23" t="s">
        <v>77</v>
      </c>
      <c r="H49" s="27">
        <v>22</v>
      </c>
      <c r="I49" s="33">
        <v>12</v>
      </c>
      <c r="J49" s="24">
        <v>5.5778247296125008</v>
      </c>
      <c r="K49" s="24">
        <v>0.6051232362089134</v>
      </c>
      <c r="L49" s="24">
        <v>4.1376146789000003</v>
      </c>
      <c r="M49" s="24">
        <v>5.6952380951999997</v>
      </c>
      <c r="N49" s="24">
        <v>5.9528301887000001</v>
      </c>
      <c r="O49" s="24">
        <v>6.8415841583999999</v>
      </c>
      <c r="P49" s="24">
        <v>86.95</v>
      </c>
      <c r="Q49" s="24">
        <v>4.7064941258352544</v>
      </c>
      <c r="R49" s="24">
        <v>96.75</v>
      </c>
      <c r="S49" s="24">
        <v>86.1</v>
      </c>
      <c r="T49" s="24">
        <v>82.5</v>
      </c>
      <c r="U49" s="24">
        <v>82.05</v>
      </c>
      <c r="V49" s="24">
        <v>5.7395127858590911</v>
      </c>
      <c r="W49" s="24">
        <v>0.4832735512804256</v>
      </c>
      <c r="X49" s="24">
        <v>4.9019607842999999</v>
      </c>
      <c r="Y49" s="24">
        <v>5.8297872340000003</v>
      </c>
      <c r="Z49" s="24">
        <v>5.9705882353000002</v>
      </c>
      <c r="AA49" s="24">
        <v>6.8415841583999999</v>
      </c>
      <c r="AB49" s="24">
        <v>84.647727272727266</v>
      </c>
      <c r="AC49" s="24">
        <v>4.8810975852121246</v>
      </c>
      <c r="AD49" s="24">
        <v>94.35</v>
      </c>
      <c r="AE49" s="24">
        <v>83.1</v>
      </c>
      <c r="AF49" s="24">
        <v>81.3</v>
      </c>
      <c r="AG49" s="24">
        <v>78.900000000000006</v>
      </c>
    </row>
    <row r="50" spans="1:33">
      <c r="A50" s="23" t="s">
        <v>112</v>
      </c>
      <c r="B50" s="23" t="s">
        <v>62</v>
      </c>
      <c r="C50" s="23">
        <v>9</v>
      </c>
      <c r="D50" s="23">
        <v>28</v>
      </c>
      <c r="E50" s="27">
        <v>166</v>
      </c>
      <c r="F50" s="31">
        <v>5.9285714285714288</v>
      </c>
      <c r="G50" s="23" t="s">
        <v>77</v>
      </c>
      <c r="H50" s="27">
        <v>28</v>
      </c>
      <c r="I50" s="33">
        <v>20</v>
      </c>
      <c r="J50" s="24">
        <v>4.8866290374535719</v>
      </c>
      <c r="K50" s="24">
        <v>0.30557312467244141</v>
      </c>
      <c r="L50" s="24">
        <v>4.1346153846</v>
      </c>
      <c r="M50" s="24">
        <v>4.8613861386000004</v>
      </c>
      <c r="N50" s="24">
        <v>5.0727272726999999</v>
      </c>
      <c r="O50" s="24">
        <v>5.4035087719000003</v>
      </c>
      <c r="P50" s="24">
        <v>87.771428571428572</v>
      </c>
      <c r="Q50" s="24">
        <v>5.7592988991303278</v>
      </c>
      <c r="R50" s="24">
        <v>99</v>
      </c>
      <c r="S50" s="24">
        <v>85.65</v>
      </c>
      <c r="T50" s="24">
        <v>83.25</v>
      </c>
      <c r="U50" s="24">
        <v>81.3</v>
      </c>
      <c r="V50" s="24">
        <v>4.9995363028321416</v>
      </c>
      <c r="W50" s="24">
        <v>0.37997995056470668</v>
      </c>
      <c r="X50" s="24">
        <v>4.1346153846</v>
      </c>
      <c r="Y50" s="24">
        <v>4.9727272727000003</v>
      </c>
      <c r="Z50" s="24">
        <v>5.2752293577999998</v>
      </c>
      <c r="AA50" s="24">
        <v>5.7090909091000004</v>
      </c>
      <c r="AB50" s="24">
        <v>83.678571428571431</v>
      </c>
      <c r="AC50" s="24">
        <v>7.4904065628102243</v>
      </c>
      <c r="AD50" s="24">
        <v>99</v>
      </c>
      <c r="AE50" s="24">
        <v>81.900000000000006</v>
      </c>
      <c r="AF50" s="24">
        <v>78.45</v>
      </c>
      <c r="AG50" s="24">
        <v>74.55</v>
      </c>
    </row>
  </sheetData>
  <mergeCells count="24">
    <mergeCell ref="A35:A36"/>
    <mergeCell ref="A39:A43"/>
    <mergeCell ref="A44:A47"/>
    <mergeCell ref="A1:A3"/>
    <mergeCell ref="A4:A10"/>
    <mergeCell ref="A11:A19"/>
    <mergeCell ref="A20:A25"/>
    <mergeCell ref="A26:A31"/>
    <mergeCell ref="A32:A34"/>
    <mergeCell ref="AB2:AG2"/>
    <mergeCell ref="V1:AG1"/>
    <mergeCell ref="V2:AA2"/>
    <mergeCell ref="D1:I1"/>
    <mergeCell ref="D2:D3"/>
    <mergeCell ref="E2:E3"/>
    <mergeCell ref="F2:F3"/>
    <mergeCell ref="G2:G3"/>
    <mergeCell ref="H2:H3"/>
    <mergeCell ref="I2:I3"/>
    <mergeCell ref="C1:C3"/>
    <mergeCell ref="B1:B3"/>
    <mergeCell ref="J2:O2"/>
    <mergeCell ref="P2:U2"/>
    <mergeCell ref="J1:U1"/>
  </mergeCells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E3E55-1B21-481E-9661-04E02BAB6335}">
  <dimension ref="A1:AM4"/>
  <sheetViews>
    <sheetView zoomScale="85" zoomScaleNormal="85" workbookViewId="0">
      <pane xSplit="2" ySplit="3" topLeftCell="T4" activePane="bottomRight" state="frozen"/>
      <selection pane="topRight"/>
      <selection pane="bottomLeft"/>
      <selection pane="bottomRight" activeCell="AF10" sqref="AF10"/>
    </sheetView>
  </sheetViews>
  <sheetFormatPr defaultRowHeight="16.5"/>
  <cols>
    <col min="1" max="1" width="14" style="4" customWidth="1"/>
    <col min="2" max="2" width="28" style="6" customWidth="1"/>
    <col min="3" max="7" width="11.125" style="4" customWidth="1"/>
    <col min="8" max="15" width="9.625" style="4" customWidth="1"/>
    <col min="16" max="39" width="11" style="4" customWidth="1"/>
    <col min="40" max="16384" width="9" style="4"/>
  </cols>
  <sheetData>
    <row r="1" spans="1:39">
      <c r="A1" s="72" t="s">
        <v>2</v>
      </c>
      <c r="B1" s="73" t="s">
        <v>3</v>
      </c>
      <c r="C1" s="78" t="s">
        <v>79</v>
      </c>
      <c r="D1" s="80" t="s">
        <v>78</v>
      </c>
      <c r="E1" s="81"/>
      <c r="F1" s="81"/>
      <c r="G1" s="81"/>
      <c r="H1" s="81"/>
      <c r="I1" s="82"/>
      <c r="J1" s="80" t="s">
        <v>91</v>
      </c>
      <c r="K1" s="81"/>
      <c r="L1" s="81"/>
      <c r="M1" s="81"/>
      <c r="N1" s="81"/>
      <c r="O1" s="82"/>
      <c r="P1" s="83" t="s">
        <v>113</v>
      </c>
      <c r="Q1" s="84"/>
      <c r="R1" s="84"/>
      <c r="S1" s="84"/>
      <c r="T1" s="84"/>
      <c r="U1" s="84"/>
      <c r="V1" s="84"/>
      <c r="W1" s="84"/>
      <c r="X1" s="84"/>
      <c r="Y1" s="84"/>
      <c r="Z1" s="84"/>
      <c r="AA1" s="85"/>
      <c r="AB1" s="75" t="s">
        <v>117</v>
      </c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7"/>
    </row>
    <row r="2" spans="1:39" ht="21.95" customHeight="1">
      <c r="A2" s="73"/>
      <c r="B2" s="73"/>
      <c r="C2" s="78"/>
      <c r="D2" s="71" t="s">
        <v>70</v>
      </c>
      <c r="E2" s="71" t="s">
        <v>71</v>
      </c>
      <c r="F2" s="71" t="s">
        <v>72</v>
      </c>
      <c r="G2" s="86" t="s">
        <v>73</v>
      </c>
      <c r="H2" s="86" t="s">
        <v>74</v>
      </c>
      <c r="I2" s="86" t="s">
        <v>75</v>
      </c>
      <c r="J2" s="69" t="s">
        <v>92</v>
      </c>
      <c r="K2" s="69" t="s">
        <v>93</v>
      </c>
      <c r="L2" s="69" t="s">
        <v>94</v>
      </c>
      <c r="M2" s="69" t="s">
        <v>95</v>
      </c>
      <c r="N2" s="69" t="s">
        <v>96</v>
      </c>
      <c r="O2" s="69" t="s">
        <v>97</v>
      </c>
      <c r="P2" s="87" t="s">
        <v>4</v>
      </c>
      <c r="Q2" s="88"/>
      <c r="R2" s="88"/>
      <c r="S2" s="88"/>
      <c r="T2" s="88"/>
      <c r="U2" s="89"/>
      <c r="V2" s="75" t="s">
        <v>118</v>
      </c>
      <c r="W2" s="76"/>
      <c r="X2" s="76"/>
      <c r="Y2" s="76"/>
      <c r="Z2" s="76"/>
      <c r="AA2" s="77"/>
      <c r="AB2" s="87" t="s">
        <v>4</v>
      </c>
      <c r="AC2" s="88"/>
      <c r="AD2" s="88"/>
      <c r="AE2" s="88"/>
      <c r="AF2" s="88"/>
      <c r="AG2" s="89"/>
      <c r="AH2" s="75" t="s">
        <v>118</v>
      </c>
      <c r="AI2" s="76"/>
      <c r="AJ2" s="76"/>
      <c r="AK2" s="76"/>
      <c r="AL2" s="76"/>
      <c r="AM2" s="77"/>
    </row>
    <row r="3" spans="1:39" ht="21.95" customHeight="1">
      <c r="A3" s="74"/>
      <c r="B3" s="74"/>
      <c r="C3" s="79"/>
      <c r="D3" s="71"/>
      <c r="E3" s="71"/>
      <c r="F3" s="71"/>
      <c r="G3" s="86"/>
      <c r="H3" s="86"/>
      <c r="I3" s="86"/>
      <c r="J3" s="70"/>
      <c r="K3" s="70"/>
      <c r="L3" s="70"/>
      <c r="M3" s="70"/>
      <c r="N3" s="70"/>
      <c r="O3" s="70"/>
      <c r="P3" s="3" t="s">
        <v>6</v>
      </c>
      <c r="Q3" s="3" t="s">
        <v>7</v>
      </c>
      <c r="R3" s="3" t="s">
        <v>10</v>
      </c>
      <c r="S3" s="3" t="s">
        <v>8</v>
      </c>
      <c r="T3" s="3" t="s">
        <v>9</v>
      </c>
      <c r="U3" s="3" t="s">
        <v>11</v>
      </c>
      <c r="V3" s="3" t="s">
        <v>6</v>
      </c>
      <c r="W3" s="3" t="s">
        <v>7</v>
      </c>
      <c r="X3" s="3" t="s">
        <v>12</v>
      </c>
      <c r="Y3" s="3" t="s">
        <v>8</v>
      </c>
      <c r="Z3" s="3" t="s">
        <v>9</v>
      </c>
      <c r="AA3" s="3" t="s">
        <v>13</v>
      </c>
      <c r="AB3" s="3" t="s">
        <v>6</v>
      </c>
      <c r="AC3" s="3" t="s">
        <v>7</v>
      </c>
      <c r="AD3" s="3" t="s">
        <v>10</v>
      </c>
      <c r="AE3" s="3" t="s">
        <v>8</v>
      </c>
      <c r="AF3" s="3" t="s">
        <v>9</v>
      </c>
      <c r="AG3" s="3" t="s">
        <v>11</v>
      </c>
      <c r="AH3" s="3" t="s">
        <v>6</v>
      </c>
      <c r="AI3" s="3" t="s">
        <v>7</v>
      </c>
      <c r="AJ3" s="3" t="s">
        <v>12</v>
      </c>
      <c r="AK3" s="3" t="s">
        <v>8</v>
      </c>
      <c r="AL3" s="3" t="s">
        <v>9</v>
      </c>
      <c r="AM3" s="3" t="s">
        <v>13</v>
      </c>
    </row>
    <row r="4" spans="1:39" s="9" customFormat="1">
      <c r="A4" s="7" t="s">
        <v>49</v>
      </c>
      <c r="B4" s="23" t="s">
        <v>80</v>
      </c>
      <c r="C4" s="23">
        <v>12</v>
      </c>
      <c r="D4" s="7">
        <v>12</v>
      </c>
      <c r="E4" s="7">
        <v>159</v>
      </c>
      <c r="F4" s="7">
        <f>E4/D4</f>
        <v>13.25</v>
      </c>
      <c r="G4" s="7">
        <v>29</v>
      </c>
      <c r="H4" s="7">
        <v>12</v>
      </c>
      <c r="I4" s="7">
        <v>8</v>
      </c>
      <c r="J4" s="7">
        <v>60</v>
      </c>
      <c r="K4" s="7">
        <v>15</v>
      </c>
      <c r="L4" s="7">
        <v>64.41</v>
      </c>
      <c r="M4" s="7">
        <v>13.24</v>
      </c>
      <c r="N4" s="7">
        <v>78.5</v>
      </c>
      <c r="O4" s="7">
        <v>33</v>
      </c>
      <c r="P4" s="24">
        <v>1.242580256433333</v>
      </c>
      <c r="Q4" s="24">
        <v>7.8241485276330791E-2</v>
      </c>
      <c r="R4" s="24">
        <v>1.1224489795999999</v>
      </c>
      <c r="S4" s="38">
        <v>1.2149532709999999</v>
      </c>
      <c r="T4" s="24">
        <v>1.2641509434</v>
      </c>
      <c r="U4" s="24">
        <v>1.3793103447999999</v>
      </c>
      <c r="V4" s="24">
        <v>188.47916666666671</v>
      </c>
      <c r="W4" s="24">
        <v>4.7950949527679372</v>
      </c>
      <c r="X4" s="24">
        <v>195.95</v>
      </c>
      <c r="Y4" s="24">
        <v>186.5</v>
      </c>
      <c r="Z4" s="24">
        <v>185.25</v>
      </c>
      <c r="AA4" s="24">
        <v>183.3</v>
      </c>
      <c r="AB4" s="24">
        <v>1.280255573441667</v>
      </c>
      <c r="AC4" s="24">
        <v>8.3913798419365193E-2</v>
      </c>
      <c r="AD4" s="24">
        <v>1.1224489795999999</v>
      </c>
      <c r="AE4" s="24">
        <v>1.2641509434</v>
      </c>
      <c r="AF4" s="24">
        <v>1.3333333332999999</v>
      </c>
      <c r="AG4" s="24">
        <v>1.3962264150999999</v>
      </c>
      <c r="AH4" s="24">
        <v>184.42500000000001</v>
      </c>
      <c r="AI4" s="24">
        <v>6.9236583866150871</v>
      </c>
      <c r="AJ4" s="24">
        <v>195.95</v>
      </c>
      <c r="AK4" s="24">
        <v>184.3</v>
      </c>
      <c r="AL4" s="24">
        <v>181.5</v>
      </c>
      <c r="AM4" s="24">
        <v>173.35</v>
      </c>
    </row>
  </sheetData>
  <mergeCells count="23">
    <mergeCell ref="N2:N3"/>
    <mergeCell ref="O2:O3"/>
    <mergeCell ref="A1:A3"/>
    <mergeCell ref="B1:B3"/>
    <mergeCell ref="AH2:AM2"/>
    <mergeCell ref="C1:C3"/>
    <mergeCell ref="D1:I1"/>
    <mergeCell ref="P1:AA1"/>
    <mergeCell ref="AB1:AM1"/>
    <mergeCell ref="G2:G3"/>
    <mergeCell ref="H2:H3"/>
    <mergeCell ref="I2:I3"/>
    <mergeCell ref="P2:U2"/>
    <mergeCell ref="V2:AA2"/>
    <mergeCell ref="AB2:AG2"/>
    <mergeCell ref="J1:O1"/>
    <mergeCell ref="J2:J3"/>
    <mergeCell ref="K2:K3"/>
    <mergeCell ref="L2:L3"/>
    <mergeCell ref="M2:M3"/>
    <mergeCell ref="D2:D3"/>
    <mergeCell ref="E2:E3"/>
    <mergeCell ref="F2:F3"/>
  </mergeCells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30"/>
  <sheetViews>
    <sheetView zoomScale="85" zoomScaleNormal="85" workbookViewId="0">
      <pane xSplit="2" ySplit="3" topLeftCell="M4" activePane="bottomRight" state="frozen"/>
      <selection pane="topRight"/>
      <selection pane="bottomLeft"/>
      <selection pane="bottomRight" activeCell="AC25" sqref="AC25"/>
    </sheetView>
  </sheetViews>
  <sheetFormatPr defaultRowHeight="16.5"/>
  <cols>
    <col min="1" max="1" width="14" style="21" customWidth="1"/>
    <col min="2" max="2" width="28" style="15" customWidth="1"/>
    <col min="3" max="7" width="12" style="21" customWidth="1"/>
    <col min="8" max="9" width="10.625" style="21" customWidth="1"/>
    <col min="10" max="33" width="11" style="21" customWidth="1"/>
    <col min="34" max="16384" width="9" style="21"/>
  </cols>
  <sheetData>
    <row r="1" spans="1:33">
      <c r="A1" s="63" t="s">
        <v>2</v>
      </c>
      <c r="B1" s="63" t="s">
        <v>3</v>
      </c>
      <c r="C1" s="49" t="s">
        <v>79</v>
      </c>
      <c r="D1" s="63" t="s">
        <v>78</v>
      </c>
      <c r="E1" s="63"/>
      <c r="F1" s="63"/>
      <c r="G1" s="63"/>
      <c r="H1" s="63"/>
      <c r="I1" s="63"/>
      <c r="J1" s="55" t="s">
        <v>113</v>
      </c>
      <c r="K1" s="56"/>
      <c r="L1" s="56"/>
      <c r="M1" s="56"/>
      <c r="N1" s="56"/>
      <c r="O1" s="56"/>
      <c r="P1" s="56"/>
      <c r="Q1" s="56"/>
      <c r="R1" s="56"/>
      <c r="S1" s="56"/>
      <c r="T1" s="56"/>
      <c r="U1" s="57"/>
      <c r="V1" s="55" t="s">
        <v>116</v>
      </c>
      <c r="W1" s="56"/>
      <c r="X1" s="56"/>
      <c r="Y1" s="56"/>
      <c r="Z1" s="56"/>
      <c r="AA1" s="56"/>
      <c r="AB1" s="56"/>
      <c r="AC1" s="56"/>
      <c r="AD1" s="56"/>
      <c r="AE1" s="56"/>
      <c r="AF1" s="56"/>
      <c r="AG1" s="57"/>
    </row>
    <row r="2" spans="1:33" ht="21.95" customHeight="1">
      <c r="A2" s="63"/>
      <c r="B2" s="63"/>
      <c r="C2" s="49"/>
      <c r="D2" s="63" t="s">
        <v>70</v>
      </c>
      <c r="E2" s="63" t="s">
        <v>71</v>
      </c>
      <c r="F2" s="63" t="s">
        <v>72</v>
      </c>
      <c r="G2" s="49" t="s">
        <v>73</v>
      </c>
      <c r="H2" s="49" t="s">
        <v>74</v>
      </c>
      <c r="I2" s="49" t="s">
        <v>75</v>
      </c>
      <c r="J2" s="52" t="s">
        <v>4</v>
      </c>
      <c r="K2" s="53"/>
      <c r="L2" s="53"/>
      <c r="M2" s="53"/>
      <c r="N2" s="53"/>
      <c r="O2" s="54"/>
      <c r="P2" s="55" t="s">
        <v>119</v>
      </c>
      <c r="Q2" s="56"/>
      <c r="R2" s="56"/>
      <c r="S2" s="56"/>
      <c r="T2" s="56"/>
      <c r="U2" s="57"/>
      <c r="V2" s="52" t="s">
        <v>4</v>
      </c>
      <c r="W2" s="53"/>
      <c r="X2" s="53"/>
      <c r="Y2" s="53"/>
      <c r="Z2" s="53"/>
      <c r="AA2" s="54"/>
      <c r="AB2" s="55" t="s">
        <v>119</v>
      </c>
      <c r="AC2" s="56"/>
      <c r="AD2" s="56"/>
      <c r="AE2" s="56"/>
      <c r="AF2" s="56"/>
      <c r="AG2" s="57"/>
    </row>
    <row r="3" spans="1:33" ht="21.95" customHeight="1">
      <c r="A3" s="63"/>
      <c r="B3" s="63"/>
      <c r="C3" s="49"/>
      <c r="D3" s="63"/>
      <c r="E3" s="63"/>
      <c r="F3" s="63"/>
      <c r="G3" s="49"/>
      <c r="H3" s="49"/>
      <c r="I3" s="49"/>
      <c r="J3" s="20" t="s">
        <v>6</v>
      </c>
      <c r="K3" s="20" t="s">
        <v>7</v>
      </c>
      <c r="L3" s="20" t="s">
        <v>10</v>
      </c>
      <c r="M3" s="20" t="s">
        <v>8</v>
      </c>
      <c r="N3" s="20" t="s">
        <v>9</v>
      </c>
      <c r="O3" s="20" t="s">
        <v>11</v>
      </c>
      <c r="P3" s="20" t="s">
        <v>6</v>
      </c>
      <c r="Q3" s="20" t="s">
        <v>7</v>
      </c>
      <c r="R3" s="20" t="s">
        <v>12</v>
      </c>
      <c r="S3" s="20" t="s">
        <v>8</v>
      </c>
      <c r="T3" s="20" t="s">
        <v>9</v>
      </c>
      <c r="U3" s="20" t="s">
        <v>13</v>
      </c>
      <c r="V3" s="20" t="s">
        <v>6</v>
      </c>
      <c r="W3" s="20" t="s">
        <v>7</v>
      </c>
      <c r="X3" s="20" t="s">
        <v>10</v>
      </c>
      <c r="Y3" s="20" t="s">
        <v>8</v>
      </c>
      <c r="Z3" s="20" t="s">
        <v>9</v>
      </c>
      <c r="AA3" s="20" t="s">
        <v>11</v>
      </c>
      <c r="AB3" s="20" t="s">
        <v>6</v>
      </c>
      <c r="AC3" s="20" t="s">
        <v>7</v>
      </c>
      <c r="AD3" s="20" t="s">
        <v>12</v>
      </c>
      <c r="AE3" s="20" t="s">
        <v>8</v>
      </c>
      <c r="AF3" s="20" t="s">
        <v>9</v>
      </c>
      <c r="AG3" s="20" t="s">
        <v>13</v>
      </c>
    </row>
    <row r="4" spans="1:33">
      <c r="A4" s="63" t="s">
        <v>14</v>
      </c>
      <c r="B4" s="23" t="s">
        <v>16</v>
      </c>
      <c r="C4" s="23">
        <v>5</v>
      </c>
      <c r="D4" s="23">
        <v>6</v>
      </c>
      <c r="E4" s="23">
        <v>12</v>
      </c>
      <c r="F4" s="31">
        <v>2</v>
      </c>
      <c r="G4" s="23" t="s">
        <v>77</v>
      </c>
      <c r="H4" s="23">
        <v>6</v>
      </c>
      <c r="I4" s="23">
        <v>6</v>
      </c>
      <c r="J4" s="24">
        <v>5.2430438178499994</v>
      </c>
      <c r="K4" s="24">
        <v>0.62026934441890103</v>
      </c>
      <c r="L4" s="24">
        <v>4.0952380952</v>
      </c>
      <c r="M4" s="24">
        <v>5.3684210525999996</v>
      </c>
      <c r="N4" s="24">
        <v>5.6846846846999997</v>
      </c>
      <c r="O4" s="24">
        <v>5.8348623853000001</v>
      </c>
      <c r="P4" s="24">
        <v>95.575000000000003</v>
      </c>
      <c r="Q4" s="24">
        <v>6.6023291344797403</v>
      </c>
      <c r="R4" s="24">
        <v>108.45</v>
      </c>
      <c r="S4" s="24">
        <v>95.25</v>
      </c>
      <c r="T4" s="24">
        <v>91.2</v>
      </c>
      <c r="U4" s="24">
        <v>90.9</v>
      </c>
      <c r="V4" s="24">
        <v>5.8511632836333334</v>
      </c>
      <c r="W4" s="24">
        <v>0.59259798982275258</v>
      </c>
      <c r="X4" s="24">
        <v>5.0873015872999998</v>
      </c>
      <c r="Y4" s="24">
        <v>5.6846846846999997</v>
      </c>
      <c r="Z4" s="24">
        <v>6.2547169810999996</v>
      </c>
      <c r="AA4" s="24">
        <v>6.7017543860000002</v>
      </c>
      <c r="AB4" s="24">
        <v>86.975000000000009</v>
      </c>
      <c r="AC4" s="24">
        <v>6.9999821428343676</v>
      </c>
      <c r="AD4" s="24">
        <v>95.25</v>
      </c>
      <c r="AE4" s="24">
        <v>90.9</v>
      </c>
      <c r="AF4" s="24">
        <v>83.7</v>
      </c>
      <c r="AG4" s="24">
        <v>75.599999999999994</v>
      </c>
    </row>
    <row r="5" spans="1:33">
      <c r="A5" s="63"/>
      <c r="B5" s="23" t="s">
        <v>18</v>
      </c>
      <c r="C5" s="23">
        <v>4</v>
      </c>
      <c r="D5" s="23">
        <v>3</v>
      </c>
      <c r="E5" s="27">
        <v>18</v>
      </c>
      <c r="F5" s="31">
        <v>6</v>
      </c>
      <c r="G5" s="23" t="s">
        <v>77</v>
      </c>
      <c r="H5" s="27">
        <v>3</v>
      </c>
      <c r="I5" s="33">
        <v>3</v>
      </c>
      <c r="J5" s="24">
        <v>4.2343510176999999</v>
      </c>
      <c r="K5" s="24">
        <v>0.94120435412595882</v>
      </c>
      <c r="L5" s="24">
        <v>3.2129629629999998</v>
      </c>
      <c r="M5" s="24">
        <v>4.4234234234000001</v>
      </c>
      <c r="N5" s="24">
        <v>5.0666666666999998</v>
      </c>
      <c r="O5" s="24">
        <v>5.0666666666999998</v>
      </c>
      <c r="P5" s="24">
        <v>99.95</v>
      </c>
      <c r="Q5" s="24">
        <v>4.1686328694189436</v>
      </c>
      <c r="R5" s="24">
        <v>103.2</v>
      </c>
      <c r="S5" s="24">
        <v>101.4</v>
      </c>
      <c r="T5" s="24">
        <v>95.25</v>
      </c>
      <c r="U5" s="24">
        <v>95.25</v>
      </c>
      <c r="V5" s="24">
        <v>4.6869106639666667</v>
      </c>
      <c r="W5" s="24">
        <v>1.299359281469076</v>
      </c>
      <c r="X5" s="24">
        <v>3.2129629629999998</v>
      </c>
      <c r="Y5" s="24">
        <v>5.1811023621999999</v>
      </c>
      <c r="Z5" s="24">
        <v>5.6666666667000003</v>
      </c>
      <c r="AA5" s="24">
        <v>5.6666666667000003</v>
      </c>
      <c r="AB5" s="24">
        <v>93.8</v>
      </c>
      <c r="AC5" s="24">
        <v>8.1902380917773083</v>
      </c>
      <c r="AD5" s="24">
        <v>103.2</v>
      </c>
      <c r="AE5" s="24">
        <v>90</v>
      </c>
      <c r="AF5" s="24">
        <v>89.1</v>
      </c>
      <c r="AG5" s="24">
        <v>88.2</v>
      </c>
    </row>
    <row r="6" spans="1:33">
      <c r="A6" s="63"/>
      <c r="B6" s="23" t="s">
        <v>19</v>
      </c>
      <c r="C6" s="23">
        <v>4</v>
      </c>
      <c r="D6" s="23">
        <v>4</v>
      </c>
      <c r="E6" s="27">
        <v>17</v>
      </c>
      <c r="F6" s="31">
        <v>4.25</v>
      </c>
      <c r="G6" s="23" t="s">
        <v>77</v>
      </c>
      <c r="H6" s="27">
        <v>4</v>
      </c>
      <c r="I6" s="33">
        <v>9</v>
      </c>
      <c r="J6" s="24">
        <v>5.096896476325</v>
      </c>
      <c r="K6" s="24">
        <v>0.83309129546211358</v>
      </c>
      <c r="L6" s="24">
        <v>3.9</v>
      </c>
      <c r="M6" s="24">
        <v>5.1578947368000003</v>
      </c>
      <c r="N6" s="24">
        <v>5.6460176990999997</v>
      </c>
      <c r="O6" s="24">
        <v>5.6836734694000004</v>
      </c>
      <c r="P6" s="24">
        <v>99.9375</v>
      </c>
      <c r="Q6" s="24">
        <v>7.9120556747282818</v>
      </c>
      <c r="R6" s="24">
        <v>111.45</v>
      </c>
      <c r="S6" s="24">
        <v>97.95</v>
      </c>
      <c r="T6" s="24">
        <v>96.9</v>
      </c>
      <c r="U6" s="24">
        <v>93.45</v>
      </c>
      <c r="V6" s="24">
        <v>6.8280605166666666</v>
      </c>
      <c r="W6" s="24">
        <v>0.55937127256758701</v>
      </c>
      <c r="X6" s="24">
        <v>6.2129629629999998</v>
      </c>
      <c r="Y6" s="24">
        <v>6.9649122807000001</v>
      </c>
      <c r="Z6" s="24">
        <v>7.3063063062999998</v>
      </c>
      <c r="AA6" s="24">
        <v>7.3063063062999998</v>
      </c>
      <c r="AB6" s="24">
        <v>73.125</v>
      </c>
      <c r="AC6" s="24">
        <v>5.4847515896346648</v>
      </c>
      <c r="AD6" s="24">
        <v>80.7</v>
      </c>
      <c r="AE6" s="24">
        <v>71.7</v>
      </c>
      <c r="AF6" s="24">
        <v>69.525000000000006</v>
      </c>
      <c r="AG6" s="24">
        <v>68.400000000000006</v>
      </c>
    </row>
    <row r="7" spans="1:33">
      <c r="A7" s="63"/>
      <c r="B7" s="23" t="s">
        <v>20</v>
      </c>
      <c r="C7" s="23">
        <v>3</v>
      </c>
      <c r="D7" s="23">
        <v>3</v>
      </c>
      <c r="E7" s="27">
        <v>20</v>
      </c>
      <c r="F7" s="31">
        <v>6.666666666666667</v>
      </c>
      <c r="G7" s="23" t="s">
        <v>77</v>
      </c>
      <c r="H7" s="27">
        <v>3</v>
      </c>
      <c r="I7" s="33">
        <v>3</v>
      </c>
      <c r="J7" s="24">
        <v>4.1180273685</v>
      </c>
      <c r="K7" s="24">
        <v>0.33568406201447198</v>
      </c>
      <c r="L7" s="24">
        <v>3.9</v>
      </c>
      <c r="M7" s="24">
        <v>3.9494949495</v>
      </c>
      <c r="N7" s="24">
        <v>4.5045871560000004</v>
      </c>
      <c r="O7" s="24">
        <v>4.5045871560000004</v>
      </c>
      <c r="P7" s="24">
        <v>105.65</v>
      </c>
      <c r="Q7" s="24">
        <v>4.5033320996790813</v>
      </c>
      <c r="R7" s="24">
        <v>110.25</v>
      </c>
      <c r="S7" s="24">
        <v>105.45</v>
      </c>
      <c r="T7" s="24">
        <v>101.25</v>
      </c>
      <c r="U7" s="24">
        <v>101.25</v>
      </c>
      <c r="V7" s="24">
        <v>4.6921452781333342</v>
      </c>
      <c r="W7" s="24">
        <v>0.28662503163687802</v>
      </c>
      <c r="X7" s="24">
        <v>4.4901960784000003</v>
      </c>
      <c r="Y7" s="24">
        <v>4.5660377358000002</v>
      </c>
      <c r="Z7" s="24">
        <v>5.0202020202000002</v>
      </c>
      <c r="AA7" s="24">
        <v>5.0202020202000002</v>
      </c>
      <c r="AB7" s="24">
        <v>98.55</v>
      </c>
      <c r="AC7" s="24">
        <v>1.081665382639194</v>
      </c>
      <c r="AD7" s="24">
        <v>99.75</v>
      </c>
      <c r="AE7" s="24">
        <v>98.25</v>
      </c>
      <c r="AF7" s="24">
        <v>97.95</v>
      </c>
      <c r="AG7" s="24">
        <v>97.65</v>
      </c>
    </row>
    <row r="8" spans="1:33">
      <c r="A8" s="63" t="s">
        <v>22</v>
      </c>
      <c r="B8" s="23" t="s">
        <v>23</v>
      </c>
      <c r="C8" s="23">
        <v>5</v>
      </c>
      <c r="D8" s="23">
        <v>5</v>
      </c>
      <c r="E8" s="27">
        <v>30</v>
      </c>
      <c r="F8" s="31">
        <v>6</v>
      </c>
      <c r="G8" s="23" t="s">
        <v>77</v>
      </c>
      <c r="H8" s="27">
        <v>5</v>
      </c>
      <c r="I8" s="33">
        <v>4</v>
      </c>
      <c r="J8" s="24">
        <v>4.5621249433799997</v>
      </c>
      <c r="K8" s="24">
        <v>0.27601537314768382</v>
      </c>
      <c r="L8" s="24">
        <v>4.1603773584999999</v>
      </c>
      <c r="M8" s="24">
        <v>4.5098039215999997</v>
      </c>
      <c r="N8" s="24">
        <v>4.8090909091</v>
      </c>
      <c r="O8" s="24">
        <v>4.8362068966000002</v>
      </c>
      <c r="P8" s="24">
        <v>114.27</v>
      </c>
      <c r="Q8" s="24">
        <v>2.161770108036464</v>
      </c>
      <c r="R8" s="24">
        <v>116.85</v>
      </c>
      <c r="S8" s="24">
        <v>114.9</v>
      </c>
      <c r="T8" s="24">
        <v>113.25</v>
      </c>
      <c r="U8" s="24">
        <v>111.15</v>
      </c>
      <c r="V8" s="24">
        <v>4.6262626439000014</v>
      </c>
      <c r="W8" s="24">
        <v>0.30252730381335258</v>
      </c>
      <c r="X8" s="24">
        <v>4.1603773584999999</v>
      </c>
      <c r="Y8" s="24">
        <v>4.7395833332999997</v>
      </c>
      <c r="Z8" s="24">
        <v>4.8362068966000002</v>
      </c>
      <c r="AA8" s="24">
        <v>4.9000000000000004</v>
      </c>
      <c r="AB8" s="24">
        <v>111.75</v>
      </c>
      <c r="AC8" s="24">
        <v>3.5178118198675699</v>
      </c>
      <c r="AD8" s="24">
        <v>116.85</v>
      </c>
      <c r="AE8" s="24">
        <v>111.15</v>
      </c>
      <c r="AF8" s="24">
        <v>109.95</v>
      </c>
      <c r="AG8" s="24">
        <v>107.55</v>
      </c>
    </row>
    <row r="9" spans="1:33">
      <c r="A9" s="63"/>
      <c r="B9" s="23" t="s">
        <v>24</v>
      </c>
      <c r="C9" s="23">
        <v>4</v>
      </c>
      <c r="D9" s="23">
        <v>5</v>
      </c>
      <c r="E9" s="27">
        <v>16</v>
      </c>
      <c r="F9" s="31">
        <v>3.2</v>
      </c>
      <c r="G9" s="23" t="s">
        <v>77</v>
      </c>
      <c r="H9" s="27">
        <v>5</v>
      </c>
      <c r="I9" s="33">
        <v>3</v>
      </c>
      <c r="J9" s="24">
        <v>4.9062780022800014</v>
      </c>
      <c r="K9" s="24">
        <v>0.7572363596936933</v>
      </c>
      <c r="L9" s="24">
        <v>3.9595959596000001</v>
      </c>
      <c r="M9" s="24">
        <v>5</v>
      </c>
      <c r="N9" s="24">
        <v>5.1603773584999999</v>
      </c>
      <c r="O9" s="24">
        <v>5.9622641509000003</v>
      </c>
      <c r="P9" s="24">
        <v>99.300000000000011</v>
      </c>
      <c r="Q9" s="24">
        <v>4.8962996231848406</v>
      </c>
      <c r="R9" s="24">
        <v>104.55</v>
      </c>
      <c r="S9" s="24">
        <v>97.8</v>
      </c>
      <c r="T9" s="24">
        <v>95.55</v>
      </c>
      <c r="U9" s="24">
        <v>94.2</v>
      </c>
      <c r="V9" s="24">
        <v>5.1046838140200004</v>
      </c>
      <c r="W9" s="24">
        <v>0.85564408109904877</v>
      </c>
      <c r="X9" s="24">
        <v>3.9595959596000001</v>
      </c>
      <c r="Y9" s="24">
        <v>5.5151515152000004</v>
      </c>
      <c r="Z9" s="24">
        <v>5.6372549019999996</v>
      </c>
      <c r="AA9" s="24">
        <v>5.9622641509000003</v>
      </c>
      <c r="AB9" s="24">
        <v>97.38000000000001</v>
      </c>
      <c r="AC9" s="24">
        <v>6.5943726009378638</v>
      </c>
      <c r="AD9" s="24">
        <v>104.55</v>
      </c>
      <c r="AE9" s="24">
        <v>94.2</v>
      </c>
      <c r="AF9" s="24">
        <v>93</v>
      </c>
      <c r="AG9" s="24">
        <v>90.75</v>
      </c>
    </row>
    <row r="10" spans="1:33">
      <c r="A10" s="63"/>
      <c r="B10" s="23" t="s">
        <v>25</v>
      </c>
      <c r="C10" s="23">
        <v>7</v>
      </c>
      <c r="D10" s="23">
        <v>7</v>
      </c>
      <c r="E10" s="27">
        <v>32</v>
      </c>
      <c r="F10" s="31">
        <v>4.5714285714285712</v>
      </c>
      <c r="G10" s="23" t="s">
        <v>77</v>
      </c>
      <c r="H10" s="27">
        <v>7</v>
      </c>
      <c r="I10" s="33">
        <v>4</v>
      </c>
      <c r="J10" s="24">
        <v>4.3781339918571431</v>
      </c>
      <c r="K10" s="24">
        <v>0.48804690890589031</v>
      </c>
      <c r="L10" s="24">
        <v>3.6576576577000002</v>
      </c>
      <c r="M10" s="24">
        <v>4.5185185184999996</v>
      </c>
      <c r="N10" s="24">
        <v>4.8070175438999998</v>
      </c>
      <c r="O10" s="24">
        <v>4.8990825687999999</v>
      </c>
      <c r="P10" s="24">
        <v>111.3214285714286</v>
      </c>
      <c r="Q10" s="24">
        <v>3.9234186987516781</v>
      </c>
      <c r="R10" s="24">
        <v>116.25</v>
      </c>
      <c r="S10" s="24">
        <v>112.95</v>
      </c>
      <c r="T10" s="24">
        <v>107.1</v>
      </c>
      <c r="U10" s="24">
        <v>106.35</v>
      </c>
      <c r="V10" s="24">
        <v>4.6034194276571432</v>
      </c>
      <c r="W10" s="24">
        <v>0.48941959180553729</v>
      </c>
      <c r="X10" s="24">
        <v>3.6576576577000002</v>
      </c>
      <c r="Y10" s="24">
        <v>4.5238095237999998</v>
      </c>
      <c r="Z10" s="24">
        <v>5.0185185184999996</v>
      </c>
      <c r="AA10" s="24">
        <v>5.1111111110999996</v>
      </c>
      <c r="AB10" s="24">
        <v>109.26428571428571</v>
      </c>
      <c r="AC10" s="24">
        <v>4.7842375120209679</v>
      </c>
      <c r="AD10" s="24">
        <v>116.25</v>
      </c>
      <c r="AE10" s="24">
        <v>107.1</v>
      </c>
      <c r="AF10" s="24">
        <v>105.45</v>
      </c>
      <c r="AG10" s="24">
        <v>104.4</v>
      </c>
    </row>
    <row r="11" spans="1:33">
      <c r="A11" s="63"/>
      <c r="B11" s="23" t="s">
        <v>26</v>
      </c>
      <c r="C11" s="23">
        <v>4</v>
      </c>
      <c r="D11" s="23">
        <v>4</v>
      </c>
      <c r="E11" s="27">
        <v>13</v>
      </c>
      <c r="F11" s="31">
        <v>3.25</v>
      </c>
      <c r="G11" s="23" t="s">
        <v>77</v>
      </c>
      <c r="H11" s="27">
        <v>3</v>
      </c>
      <c r="I11" s="33">
        <v>5</v>
      </c>
      <c r="J11" s="24">
        <v>4.9462858475499996</v>
      </c>
      <c r="K11" s="24">
        <v>0.51675521040020633</v>
      </c>
      <c r="L11" s="24">
        <v>4.3859649123000004</v>
      </c>
      <c r="M11" s="24">
        <v>4.6454545454999998</v>
      </c>
      <c r="N11" s="24">
        <v>5.2631578947</v>
      </c>
      <c r="O11" s="24">
        <v>5.4905660376999998</v>
      </c>
      <c r="P11" s="24">
        <v>109.95</v>
      </c>
      <c r="Q11" s="24">
        <v>2.251666049839538</v>
      </c>
      <c r="R11" s="24">
        <v>112.5</v>
      </c>
      <c r="S11" s="24">
        <v>111</v>
      </c>
      <c r="T11" s="24">
        <v>108.9</v>
      </c>
      <c r="U11" s="24">
        <v>107.4</v>
      </c>
      <c r="V11" s="24">
        <v>5.7016172506333334</v>
      </c>
      <c r="W11" s="24">
        <v>0.48570254360099169</v>
      </c>
      <c r="X11" s="24">
        <v>5.3571428571000004</v>
      </c>
      <c r="Y11" s="24">
        <v>5.4905660376999998</v>
      </c>
      <c r="Z11" s="24">
        <v>6.2571428570999998</v>
      </c>
      <c r="AA11" s="24">
        <v>6.2571428570999998</v>
      </c>
      <c r="AB11" s="24">
        <v>104.45</v>
      </c>
      <c r="AC11" s="24">
        <v>4.3534469102080493</v>
      </c>
      <c r="AD11" s="24">
        <v>108.9</v>
      </c>
      <c r="AE11" s="24">
        <v>104.25</v>
      </c>
      <c r="AF11" s="24">
        <v>102.22499999999999</v>
      </c>
      <c r="AG11" s="24">
        <v>100.2</v>
      </c>
    </row>
    <row r="12" spans="1:33">
      <c r="A12" s="63"/>
      <c r="B12" s="23" t="s">
        <v>27</v>
      </c>
      <c r="C12" s="23">
        <v>4</v>
      </c>
      <c r="D12" s="23">
        <v>4</v>
      </c>
      <c r="E12" s="27">
        <v>16</v>
      </c>
      <c r="F12" s="31">
        <v>4</v>
      </c>
      <c r="G12" s="23" t="s">
        <v>77</v>
      </c>
      <c r="H12" s="27">
        <v>4</v>
      </c>
      <c r="I12" s="33">
        <v>0</v>
      </c>
      <c r="J12" s="24">
        <v>5.510788940074999</v>
      </c>
      <c r="K12" s="24">
        <v>0.403642219234989</v>
      </c>
      <c r="L12" s="24">
        <v>4.9787234043000002</v>
      </c>
      <c r="M12" s="24">
        <v>5.4396551724000002</v>
      </c>
      <c r="N12" s="24">
        <v>5.7156862745000003</v>
      </c>
      <c r="O12" s="24">
        <v>5.9090909090999997</v>
      </c>
      <c r="P12" s="24">
        <v>89.1</v>
      </c>
      <c r="Q12" s="24">
        <v>3.2194720064010491</v>
      </c>
      <c r="R12" s="24">
        <v>92.85</v>
      </c>
      <c r="S12" s="24">
        <v>90.45</v>
      </c>
      <c r="T12" s="24">
        <v>87.6</v>
      </c>
      <c r="U12" s="24">
        <v>85.5</v>
      </c>
      <c r="V12" s="24">
        <v>5.510788940074999</v>
      </c>
      <c r="W12" s="24">
        <v>0.403642219234989</v>
      </c>
      <c r="X12" s="24">
        <v>4.9787234043000002</v>
      </c>
      <c r="Y12" s="24">
        <v>5.4396551724000002</v>
      </c>
      <c r="Z12" s="24">
        <v>5.7156862745000003</v>
      </c>
      <c r="AA12" s="24">
        <v>5.9090909090999997</v>
      </c>
      <c r="AB12" s="24">
        <v>89.1</v>
      </c>
      <c r="AC12" s="24">
        <v>3.2194720064010491</v>
      </c>
      <c r="AD12" s="24">
        <v>92.85</v>
      </c>
      <c r="AE12" s="24">
        <v>89.025000000000006</v>
      </c>
      <c r="AF12" s="24">
        <v>87.074999999999989</v>
      </c>
      <c r="AG12" s="24">
        <v>85.5</v>
      </c>
    </row>
    <row r="13" spans="1:33">
      <c r="A13" s="63"/>
      <c r="B13" s="23" t="s">
        <v>28</v>
      </c>
      <c r="C13" s="23">
        <v>0</v>
      </c>
      <c r="D13" s="23">
        <v>2</v>
      </c>
      <c r="E13" s="27">
        <v>10</v>
      </c>
      <c r="F13" s="31">
        <v>5</v>
      </c>
      <c r="G13" s="23" t="s">
        <v>77</v>
      </c>
      <c r="H13" s="27">
        <v>2</v>
      </c>
      <c r="I13" s="33">
        <v>0</v>
      </c>
      <c r="J13" s="24">
        <v>5.0360962566499996</v>
      </c>
      <c r="K13" s="24">
        <v>0.59177653076361225</v>
      </c>
      <c r="L13" s="24">
        <v>4.6176470588000003</v>
      </c>
      <c r="M13" s="24">
        <v>4.6176470588000003</v>
      </c>
      <c r="N13" s="24">
        <v>5.4545454544999998</v>
      </c>
      <c r="O13" s="24">
        <v>5.4545454544999998</v>
      </c>
      <c r="P13" s="24">
        <v>100.35</v>
      </c>
      <c r="Q13" s="24">
        <v>3.1819805153394638</v>
      </c>
      <c r="R13" s="24">
        <v>102.6</v>
      </c>
      <c r="S13" s="24">
        <v>102.6</v>
      </c>
      <c r="T13" s="24">
        <v>98.1</v>
      </c>
      <c r="U13" s="24">
        <v>98.1</v>
      </c>
      <c r="V13" s="24">
        <v>5.0360962566499996</v>
      </c>
      <c r="W13" s="24">
        <v>0.59177653076361225</v>
      </c>
      <c r="X13" s="24">
        <v>4.6176470588000003</v>
      </c>
      <c r="Y13" s="24">
        <v>4.6176470588000003</v>
      </c>
      <c r="Z13" s="24">
        <v>5.4545454544999998</v>
      </c>
      <c r="AA13" s="24">
        <v>5.4545454544999998</v>
      </c>
      <c r="AB13" s="24">
        <v>100.35</v>
      </c>
      <c r="AC13" s="24">
        <v>3.1819805153394638</v>
      </c>
      <c r="AD13" s="24">
        <v>102.6</v>
      </c>
      <c r="AE13" s="24">
        <v>100.35</v>
      </c>
      <c r="AF13" s="24">
        <v>99.224999999999994</v>
      </c>
      <c r="AG13" s="24">
        <v>98.1</v>
      </c>
    </row>
    <row r="14" spans="1:33">
      <c r="A14" s="63"/>
      <c r="B14" s="23" t="s">
        <v>110</v>
      </c>
      <c r="C14" s="23">
        <v>4</v>
      </c>
      <c r="D14" s="23">
        <v>4</v>
      </c>
      <c r="E14" s="27">
        <v>20</v>
      </c>
      <c r="F14" s="31">
        <v>5</v>
      </c>
      <c r="G14" s="23" t="s">
        <v>77</v>
      </c>
      <c r="H14" s="27">
        <v>4</v>
      </c>
      <c r="I14" s="33">
        <v>5</v>
      </c>
      <c r="J14" s="24">
        <v>4.6293019480749997</v>
      </c>
      <c r="K14" s="24">
        <v>0.47789655167146983</v>
      </c>
      <c r="L14" s="24">
        <v>4.0999999999999996</v>
      </c>
      <c r="M14" s="24">
        <v>4.4469696970000001</v>
      </c>
      <c r="N14" s="24">
        <v>4.7416666666999996</v>
      </c>
      <c r="O14" s="24">
        <v>5.2285714285999996</v>
      </c>
      <c r="P14" s="24">
        <v>107.8125</v>
      </c>
      <c r="Q14" s="24">
        <v>1.7551709318468141</v>
      </c>
      <c r="R14" s="24">
        <v>109.5</v>
      </c>
      <c r="S14" s="24">
        <v>108.9</v>
      </c>
      <c r="T14" s="24">
        <v>107.25</v>
      </c>
      <c r="U14" s="24">
        <v>105.6</v>
      </c>
      <c r="V14" s="24">
        <v>4.9972968347249997</v>
      </c>
      <c r="W14" s="24">
        <v>0.38499018447348188</v>
      </c>
      <c r="X14" s="24">
        <v>4.4469696970000001</v>
      </c>
      <c r="Y14" s="24">
        <v>5.0377358490999997</v>
      </c>
      <c r="Z14" s="24">
        <v>5.180952381</v>
      </c>
      <c r="AA14" s="24">
        <v>5.3235294118000001</v>
      </c>
      <c r="AB14" s="24">
        <v>102.71250000000001</v>
      </c>
      <c r="AC14" s="24">
        <v>4.8980225601767096</v>
      </c>
      <c r="AD14" s="24">
        <v>109.5</v>
      </c>
      <c r="AE14" s="24">
        <v>101.325</v>
      </c>
      <c r="AF14" s="24">
        <v>99.375</v>
      </c>
      <c r="AG14" s="24">
        <v>98.7</v>
      </c>
    </row>
    <row r="15" spans="1:33">
      <c r="A15" s="63"/>
      <c r="B15" s="23" t="s">
        <v>30</v>
      </c>
      <c r="C15" s="23">
        <v>4</v>
      </c>
      <c r="D15" s="23">
        <v>5</v>
      </c>
      <c r="E15" s="27">
        <v>29</v>
      </c>
      <c r="F15" s="31">
        <v>5.8</v>
      </c>
      <c r="G15" s="23" t="s">
        <v>77</v>
      </c>
      <c r="H15" s="27">
        <v>5</v>
      </c>
      <c r="I15" s="33">
        <v>2</v>
      </c>
      <c r="J15" s="24">
        <v>4.4980418312000001</v>
      </c>
      <c r="K15" s="24">
        <v>0.49064700029808028</v>
      </c>
      <c r="L15" s="24">
        <v>3.6886792452999999</v>
      </c>
      <c r="M15" s="24">
        <v>4.5765765765999999</v>
      </c>
      <c r="N15" s="24">
        <v>4.6972477063999998</v>
      </c>
      <c r="O15" s="24">
        <v>5.0095238095000001</v>
      </c>
      <c r="P15" s="24">
        <v>102.27</v>
      </c>
      <c r="Q15" s="24">
        <v>2.7585322184089152</v>
      </c>
      <c r="R15" s="24">
        <v>105</v>
      </c>
      <c r="S15" s="24">
        <v>101.7</v>
      </c>
      <c r="T15" s="24">
        <v>101.1</v>
      </c>
      <c r="U15" s="24">
        <v>98.55</v>
      </c>
      <c r="V15" s="24">
        <v>4.9361789980199999</v>
      </c>
      <c r="W15" s="24">
        <v>0.4739564414225545</v>
      </c>
      <c r="X15" s="24">
        <v>4.5181818182000004</v>
      </c>
      <c r="Y15" s="24">
        <v>4.6972477063999998</v>
      </c>
      <c r="Z15" s="24">
        <v>5.3425925926</v>
      </c>
      <c r="AA15" s="24">
        <v>5.5462962963000004</v>
      </c>
      <c r="AB15" s="24">
        <v>98.97</v>
      </c>
      <c r="AC15" s="24">
        <v>4.7899112726646624</v>
      </c>
      <c r="AD15" s="24">
        <v>105</v>
      </c>
      <c r="AE15" s="24">
        <v>98.55</v>
      </c>
      <c r="AF15" s="24">
        <v>97.35</v>
      </c>
      <c r="AG15" s="24">
        <v>92.25</v>
      </c>
    </row>
    <row r="16" spans="1:33">
      <c r="A16" s="23" t="s">
        <v>31</v>
      </c>
      <c r="B16" s="23" t="s">
        <v>35</v>
      </c>
      <c r="C16" s="23">
        <v>3</v>
      </c>
      <c r="D16" s="23">
        <v>3</v>
      </c>
      <c r="E16" s="27">
        <v>10</v>
      </c>
      <c r="F16" s="31">
        <v>3.3333333333333335</v>
      </c>
      <c r="G16" s="23" t="s">
        <v>77</v>
      </c>
      <c r="H16" s="27">
        <v>3</v>
      </c>
      <c r="I16" s="33">
        <v>2</v>
      </c>
      <c r="J16" s="24">
        <v>5.1055781230666666</v>
      </c>
      <c r="K16" s="24">
        <v>0.28608597604265279</v>
      </c>
      <c r="L16" s="24">
        <v>4.7757009345999997</v>
      </c>
      <c r="M16" s="24">
        <v>5.2553191489</v>
      </c>
      <c r="N16" s="24">
        <v>5.2857142857000001</v>
      </c>
      <c r="O16" s="24">
        <v>5.2857142857000001</v>
      </c>
      <c r="P16" s="24">
        <v>94.350000000000009</v>
      </c>
      <c r="Q16" s="24">
        <v>2.328626204439006</v>
      </c>
      <c r="R16" s="24">
        <v>96.75</v>
      </c>
      <c r="S16" s="24">
        <v>94.2</v>
      </c>
      <c r="T16" s="24">
        <v>92.1</v>
      </c>
      <c r="U16" s="24">
        <v>92.1</v>
      </c>
      <c r="V16" s="24">
        <v>5.781038922633333</v>
      </c>
      <c r="W16" s="24">
        <v>0.88438098831923273</v>
      </c>
      <c r="X16" s="24">
        <v>5.2553191489</v>
      </c>
      <c r="Y16" s="24">
        <v>5.2857142857000001</v>
      </c>
      <c r="Z16" s="24">
        <v>6.8020833332999997</v>
      </c>
      <c r="AA16" s="24">
        <v>6.8020833332999997</v>
      </c>
      <c r="AB16" s="24">
        <v>90.25</v>
      </c>
      <c r="AC16" s="24">
        <v>5.1315202425791897</v>
      </c>
      <c r="AD16" s="24">
        <v>94.2</v>
      </c>
      <c r="AE16" s="24">
        <v>92.1</v>
      </c>
      <c r="AF16" s="24">
        <v>88.275000000000006</v>
      </c>
      <c r="AG16" s="24">
        <v>84.45</v>
      </c>
    </row>
    <row r="17" spans="1:33">
      <c r="A17" s="63" t="s">
        <v>37</v>
      </c>
      <c r="B17" s="23" t="s">
        <v>39</v>
      </c>
      <c r="C17" s="23">
        <v>5</v>
      </c>
      <c r="D17" s="23">
        <v>7</v>
      </c>
      <c r="E17" s="27">
        <v>23</v>
      </c>
      <c r="F17" s="31">
        <v>3.2857142857142856</v>
      </c>
      <c r="G17" s="23" t="s">
        <v>77</v>
      </c>
      <c r="H17" s="27">
        <v>7</v>
      </c>
      <c r="I17" s="33">
        <v>9</v>
      </c>
      <c r="J17" s="24">
        <v>5.9428846969000002</v>
      </c>
      <c r="K17" s="24">
        <v>0.29798266042197208</v>
      </c>
      <c r="L17" s="24">
        <v>5.5882352941000004</v>
      </c>
      <c r="M17" s="24">
        <v>5.8380952381000002</v>
      </c>
      <c r="N17" s="24">
        <v>6.2190476190000004</v>
      </c>
      <c r="O17" s="24">
        <v>6.2980769231</v>
      </c>
      <c r="P17" s="24">
        <v>87.814285714285717</v>
      </c>
      <c r="Q17" s="24">
        <v>3.3145781890654771</v>
      </c>
      <c r="R17" s="24">
        <v>94.95</v>
      </c>
      <c r="S17" s="24">
        <v>86.85</v>
      </c>
      <c r="T17" s="24">
        <v>85.5</v>
      </c>
      <c r="U17" s="24">
        <v>85.2</v>
      </c>
      <c r="V17" s="24">
        <v>6.3918768067</v>
      </c>
      <c r="W17" s="24">
        <v>0.89805627998239645</v>
      </c>
      <c r="X17" s="24">
        <v>5.2244897959000003</v>
      </c>
      <c r="Y17" s="24">
        <v>6.2169811320999999</v>
      </c>
      <c r="Z17" s="24">
        <v>7.2952380952000002</v>
      </c>
      <c r="AA17" s="24">
        <v>7.3367346939000004</v>
      </c>
      <c r="AB17" s="24">
        <v>80.164285714285711</v>
      </c>
      <c r="AC17" s="24">
        <v>7.5903839541507088</v>
      </c>
      <c r="AD17" s="24">
        <v>86.85</v>
      </c>
      <c r="AE17" s="24">
        <v>84.9</v>
      </c>
      <c r="AF17" s="24">
        <v>73.800000000000011</v>
      </c>
      <c r="AG17" s="24">
        <v>69.75</v>
      </c>
    </row>
    <row r="18" spans="1:33">
      <c r="A18" s="63"/>
      <c r="B18" s="23" t="s">
        <v>42</v>
      </c>
      <c r="C18" s="23">
        <v>5</v>
      </c>
      <c r="D18" s="23">
        <v>5</v>
      </c>
      <c r="E18" s="27">
        <v>24</v>
      </c>
      <c r="F18" s="31">
        <v>4.8</v>
      </c>
      <c r="G18" s="23" t="s">
        <v>77</v>
      </c>
      <c r="H18" s="27">
        <v>5</v>
      </c>
      <c r="I18" s="33">
        <v>2</v>
      </c>
      <c r="J18" s="24">
        <v>4.1848269344200002</v>
      </c>
      <c r="K18" s="24">
        <v>1.0900926835689251</v>
      </c>
      <c r="L18" s="24">
        <v>2.7954545455000002</v>
      </c>
      <c r="M18" s="24">
        <v>4.1858407079999997</v>
      </c>
      <c r="N18" s="24">
        <v>5.2258064515999996</v>
      </c>
      <c r="O18" s="24">
        <v>5.2747252746999997</v>
      </c>
      <c r="P18" s="24">
        <v>84.06</v>
      </c>
      <c r="Q18" s="24">
        <v>4.0964008592909948</v>
      </c>
      <c r="R18" s="24">
        <v>88.65</v>
      </c>
      <c r="S18" s="24">
        <v>84.45</v>
      </c>
      <c r="T18" s="24">
        <v>83.25</v>
      </c>
      <c r="U18" s="24">
        <v>77.7</v>
      </c>
      <c r="V18" s="24">
        <v>4.8148339942600007</v>
      </c>
      <c r="W18" s="24">
        <v>0.97056880202658136</v>
      </c>
      <c r="X18" s="24">
        <v>3.4423076923</v>
      </c>
      <c r="Y18" s="24">
        <v>5.2747252746999997</v>
      </c>
      <c r="Z18" s="24">
        <v>5.375</v>
      </c>
      <c r="AA18" s="24">
        <v>5.7962962963000004</v>
      </c>
      <c r="AB18" s="24">
        <v>79.53</v>
      </c>
      <c r="AC18" s="24">
        <v>4.0268784436583136</v>
      </c>
      <c r="AD18" s="24">
        <v>84.45</v>
      </c>
      <c r="AE18" s="24">
        <v>77.7</v>
      </c>
      <c r="AF18" s="24">
        <v>76.5</v>
      </c>
      <c r="AG18" s="24">
        <v>75.75</v>
      </c>
    </row>
    <row r="19" spans="1:33" ht="33">
      <c r="A19" s="23" t="s">
        <v>44</v>
      </c>
      <c r="B19" s="22" t="s">
        <v>125</v>
      </c>
      <c r="C19" s="23">
        <v>7</v>
      </c>
      <c r="D19" s="23">
        <v>7</v>
      </c>
      <c r="E19" s="27">
        <v>26</v>
      </c>
      <c r="F19" s="31">
        <v>3.7142857142857144</v>
      </c>
      <c r="G19" s="23" t="s">
        <v>77</v>
      </c>
      <c r="H19" s="27">
        <v>7</v>
      </c>
      <c r="I19" s="33">
        <v>4</v>
      </c>
      <c r="J19" s="24">
        <v>4.8738269862285719</v>
      </c>
      <c r="K19" s="24">
        <v>0.89144483753958148</v>
      </c>
      <c r="L19" s="24">
        <v>2.9622641508999998</v>
      </c>
      <c r="M19" s="24">
        <v>5.1142857143000002</v>
      </c>
      <c r="N19" s="24">
        <v>5.3240740741000003</v>
      </c>
      <c r="O19" s="24">
        <v>5.6952380951999997</v>
      </c>
      <c r="P19" s="24">
        <v>82.392857142857139</v>
      </c>
      <c r="Q19" s="24">
        <v>5.8421192338788428</v>
      </c>
      <c r="R19" s="24">
        <v>91.95</v>
      </c>
      <c r="S19" s="24">
        <v>82.2</v>
      </c>
      <c r="T19" s="24">
        <v>78.900000000000006</v>
      </c>
      <c r="U19" s="24">
        <v>73.650000000000006</v>
      </c>
      <c r="V19" s="24">
        <v>5.1001185312000006</v>
      </c>
      <c r="W19" s="24">
        <v>1.216292775955095</v>
      </c>
      <c r="X19" s="24">
        <v>2.9622641508999998</v>
      </c>
      <c r="Y19" s="24">
        <v>5.3240740741000003</v>
      </c>
      <c r="Z19" s="24">
        <v>6.2</v>
      </c>
      <c r="AA19" s="24">
        <v>6.2666666666999999</v>
      </c>
      <c r="AB19" s="24">
        <v>74.44285714285715</v>
      </c>
      <c r="AC19" s="24">
        <v>6.3342605837506518</v>
      </c>
      <c r="AD19" s="24">
        <v>82.95</v>
      </c>
      <c r="AE19" s="24">
        <v>73.650000000000006</v>
      </c>
      <c r="AF19" s="24">
        <v>69.075000000000003</v>
      </c>
      <c r="AG19" s="24">
        <v>67.2</v>
      </c>
    </row>
    <row r="20" spans="1:33">
      <c r="A20" s="23" t="s">
        <v>45</v>
      </c>
      <c r="B20" s="23" t="s">
        <v>48</v>
      </c>
      <c r="C20" s="23">
        <v>7</v>
      </c>
      <c r="D20" s="23">
        <v>7</v>
      </c>
      <c r="E20" s="27">
        <v>29</v>
      </c>
      <c r="F20" s="31">
        <v>4.1428571428571432</v>
      </c>
      <c r="G20" s="23" t="s">
        <v>77</v>
      </c>
      <c r="H20" s="27">
        <v>7</v>
      </c>
      <c r="I20" s="33">
        <v>0</v>
      </c>
      <c r="J20" s="24">
        <v>4.9348265734571424</v>
      </c>
      <c r="K20" s="24">
        <v>0.5752755963134315</v>
      </c>
      <c r="L20" s="24">
        <v>4.0341880341999996</v>
      </c>
      <c r="M20" s="24">
        <v>4.8796296296000001</v>
      </c>
      <c r="N20" s="24">
        <v>5.4528301887000001</v>
      </c>
      <c r="O20" s="24">
        <v>5.6633663366000002</v>
      </c>
      <c r="P20" s="24">
        <v>109.8857142857143</v>
      </c>
      <c r="Q20" s="24">
        <v>2.438530002158795</v>
      </c>
      <c r="R20" s="24">
        <v>112.8</v>
      </c>
      <c r="S20" s="24">
        <v>109.35</v>
      </c>
      <c r="T20" s="24">
        <v>108.45</v>
      </c>
      <c r="U20" s="24">
        <v>106.05</v>
      </c>
      <c r="V20" s="24">
        <v>4.9348265734571424</v>
      </c>
      <c r="W20" s="24">
        <v>0.5752755963134315</v>
      </c>
      <c r="X20" s="24">
        <v>4.0341880341999996</v>
      </c>
      <c r="Y20" s="24">
        <v>4.8796296296000001</v>
      </c>
      <c r="Z20" s="24">
        <v>5.4528301887000001</v>
      </c>
      <c r="AA20" s="24">
        <v>5.6633663366000002</v>
      </c>
      <c r="AB20" s="24">
        <v>109.8857142857143</v>
      </c>
      <c r="AC20" s="24">
        <v>2.438530002158795</v>
      </c>
      <c r="AD20" s="24">
        <v>112.8</v>
      </c>
      <c r="AE20" s="24">
        <v>109.35</v>
      </c>
      <c r="AF20" s="24">
        <v>108.6</v>
      </c>
      <c r="AG20" s="24">
        <v>106.05</v>
      </c>
    </row>
    <row r="21" spans="1:33">
      <c r="A21" s="23" t="s">
        <v>49</v>
      </c>
      <c r="B21" s="23" t="s">
        <v>50</v>
      </c>
      <c r="C21" s="23">
        <v>6</v>
      </c>
      <c r="D21" s="23">
        <v>6</v>
      </c>
      <c r="E21" s="27">
        <v>31</v>
      </c>
      <c r="F21" s="31">
        <v>5.166666666666667</v>
      </c>
      <c r="G21" s="23" t="s">
        <v>77</v>
      </c>
      <c r="H21" s="27">
        <v>5</v>
      </c>
      <c r="I21" s="33">
        <v>3</v>
      </c>
      <c r="J21" s="24">
        <v>4.1316329661499998</v>
      </c>
      <c r="K21" s="24">
        <v>0.37873569973596999</v>
      </c>
      <c r="L21" s="24">
        <v>3.7291666666999999</v>
      </c>
      <c r="M21" s="24">
        <v>4</v>
      </c>
      <c r="N21" s="24">
        <v>4.1775700935</v>
      </c>
      <c r="O21" s="24">
        <v>4.8431372549000002</v>
      </c>
      <c r="P21" s="24">
        <v>92.65000000000002</v>
      </c>
      <c r="Q21" s="24">
        <v>3.746598457267603</v>
      </c>
      <c r="R21" s="24">
        <v>98.1</v>
      </c>
      <c r="S21" s="24">
        <v>93.15</v>
      </c>
      <c r="T21" s="24">
        <v>89.25</v>
      </c>
      <c r="U21" s="24">
        <v>88.8</v>
      </c>
      <c r="V21" s="24">
        <v>4.3242188643199997</v>
      </c>
      <c r="W21" s="24">
        <v>0.39574548715187469</v>
      </c>
      <c r="X21" s="24">
        <v>4</v>
      </c>
      <c r="Y21" s="24">
        <v>4.1775700935</v>
      </c>
      <c r="Z21" s="24">
        <v>4.3963963964000001</v>
      </c>
      <c r="AA21" s="24">
        <v>4.9791666667000003</v>
      </c>
      <c r="AB21" s="24">
        <v>90.39</v>
      </c>
      <c r="AC21" s="24">
        <v>5.2592062138691622</v>
      </c>
      <c r="AD21" s="24">
        <v>98.1</v>
      </c>
      <c r="AE21" s="24">
        <v>88.8</v>
      </c>
      <c r="AF21" s="24">
        <v>86.85</v>
      </c>
      <c r="AG21" s="24">
        <v>85.05</v>
      </c>
    </row>
    <row r="22" spans="1:33">
      <c r="A22" s="23" t="s">
        <v>111</v>
      </c>
      <c r="B22" s="23" t="s">
        <v>62</v>
      </c>
      <c r="C22" s="23">
        <v>5</v>
      </c>
      <c r="D22" s="23">
        <v>10</v>
      </c>
      <c r="E22" s="27">
        <v>58</v>
      </c>
      <c r="F22" s="31">
        <v>5.8</v>
      </c>
      <c r="G22" s="23" t="s">
        <v>77</v>
      </c>
      <c r="H22" s="27">
        <v>10</v>
      </c>
      <c r="I22" s="33">
        <v>3</v>
      </c>
      <c r="J22" s="24">
        <v>4.8449463364299996</v>
      </c>
      <c r="K22" s="24">
        <v>0.59016091492180722</v>
      </c>
      <c r="L22" s="24">
        <v>3.4590163933999998</v>
      </c>
      <c r="M22" s="24">
        <v>4.7647058824000004</v>
      </c>
      <c r="N22" s="24">
        <v>5.1964285714000003</v>
      </c>
      <c r="O22" s="24">
        <v>5.6730769231</v>
      </c>
      <c r="P22" s="24">
        <v>83.46</v>
      </c>
      <c r="Q22" s="24">
        <v>3.1418147622035271</v>
      </c>
      <c r="R22" s="24">
        <v>88.8</v>
      </c>
      <c r="S22" s="24">
        <v>83.25</v>
      </c>
      <c r="T22" s="24">
        <v>80.55</v>
      </c>
      <c r="U22" s="24">
        <v>80.099999999999994</v>
      </c>
      <c r="V22" s="24">
        <v>4.8814758093800004</v>
      </c>
      <c r="W22" s="24">
        <v>0.58556388954312533</v>
      </c>
      <c r="X22" s="24">
        <v>3.4590163933999998</v>
      </c>
      <c r="Y22" s="24">
        <v>4.7647058824000004</v>
      </c>
      <c r="Z22" s="24">
        <v>5.3131313131000004</v>
      </c>
      <c r="AA22" s="24">
        <v>5.4807692308</v>
      </c>
      <c r="AB22" s="24">
        <v>82.35</v>
      </c>
      <c r="AC22" s="24">
        <v>4.2011903075199992</v>
      </c>
      <c r="AD22" s="24">
        <v>88.8</v>
      </c>
      <c r="AE22" s="24">
        <v>82.05</v>
      </c>
      <c r="AF22" s="24">
        <v>79.3125</v>
      </c>
      <c r="AG22" s="24">
        <v>76.650000000000006</v>
      </c>
    </row>
    <row r="23" spans="1:33">
      <c r="A23" s="63" t="s">
        <v>51</v>
      </c>
      <c r="B23" s="23" t="s">
        <v>52</v>
      </c>
      <c r="C23" s="23">
        <v>5</v>
      </c>
      <c r="D23" s="23">
        <v>5</v>
      </c>
      <c r="E23" s="27">
        <v>41</v>
      </c>
      <c r="F23" s="31">
        <v>8.1999999999999993</v>
      </c>
      <c r="G23" s="23" t="s">
        <v>77</v>
      </c>
      <c r="H23" s="27">
        <v>4</v>
      </c>
      <c r="I23" s="33">
        <v>3</v>
      </c>
      <c r="J23" s="24">
        <v>5.2596339153400002</v>
      </c>
      <c r="K23" s="24">
        <v>0.3883953816586489</v>
      </c>
      <c r="L23" s="24">
        <v>4.6915887850000004</v>
      </c>
      <c r="M23" s="24">
        <v>5.3628318583999999</v>
      </c>
      <c r="N23" s="24">
        <v>5.4107142857000001</v>
      </c>
      <c r="O23" s="24">
        <v>5.7311827956999997</v>
      </c>
      <c r="P23" s="24">
        <v>108.63</v>
      </c>
      <c r="Q23" s="24">
        <v>3.3480591392626291</v>
      </c>
      <c r="R23" s="24">
        <v>113.4</v>
      </c>
      <c r="S23" s="24">
        <v>107.1</v>
      </c>
      <c r="T23" s="24">
        <v>106.8</v>
      </c>
      <c r="U23" s="24">
        <v>105.15</v>
      </c>
      <c r="V23" s="24">
        <v>5.3562928828</v>
      </c>
      <c r="W23" s="24">
        <v>0.31183520146147359</v>
      </c>
      <c r="X23" s="24">
        <v>5.0970873786000004</v>
      </c>
      <c r="Y23" s="24">
        <v>5.1018518519000002</v>
      </c>
      <c r="Z23" s="24">
        <v>5.4950495049999999</v>
      </c>
      <c r="AA23" s="24">
        <v>5.7311827956999997</v>
      </c>
      <c r="AB23" s="24">
        <v>104.325</v>
      </c>
      <c r="AC23" s="24">
        <v>2.094636006565342</v>
      </c>
      <c r="AD23" s="24">
        <v>106.8</v>
      </c>
      <c r="AE23" s="24">
        <v>104.25</v>
      </c>
      <c r="AF23" s="24">
        <v>103.0125</v>
      </c>
      <c r="AG23" s="24">
        <v>102</v>
      </c>
    </row>
    <row r="24" spans="1:33">
      <c r="A24" s="63"/>
      <c r="B24" s="23" t="s">
        <v>53</v>
      </c>
      <c r="C24" s="23">
        <v>4</v>
      </c>
      <c r="D24" s="23">
        <v>4</v>
      </c>
      <c r="E24" s="27">
        <v>48</v>
      </c>
      <c r="F24" s="31">
        <v>12</v>
      </c>
      <c r="G24" s="23" t="s">
        <v>77</v>
      </c>
      <c r="H24" s="27">
        <v>4</v>
      </c>
      <c r="I24" s="33">
        <v>2</v>
      </c>
      <c r="J24" s="24">
        <v>3.38140332005</v>
      </c>
      <c r="K24" s="24">
        <v>0.19982272501522341</v>
      </c>
      <c r="L24" s="24">
        <v>3.1875</v>
      </c>
      <c r="M24" s="24">
        <v>3.2792792792999998</v>
      </c>
      <c r="N24" s="24">
        <v>3.4112149533</v>
      </c>
      <c r="O24" s="24">
        <v>3.6476190476000001</v>
      </c>
      <c r="P24" s="24">
        <v>101.8875</v>
      </c>
      <c r="Q24" s="24">
        <v>2.3792068005955249</v>
      </c>
      <c r="R24" s="24">
        <v>105</v>
      </c>
      <c r="S24" s="24">
        <v>102.3</v>
      </c>
      <c r="T24" s="24">
        <v>100.8</v>
      </c>
      <c r="U24" s="24">
        <v>99.45</v>
      </c>
      <c r="V24" s="24">
        <v>3.441009801524999</v>
      </c>
      <c r="W24" s="24">
        <v>0.1527082170540412</v>
      </c>
      <c r="X24" s="24">
        <v>3.2792792792999998</v>
      </c>
      <c r="Y24" s="24">
        <v>3.4112149533</v>
      </c>
      <c r="Z24" s="24">
        <v>3.4259259259000001</v>
      </c>
      <c r="AA24" s="24">
        <v>3.6476190476000001</v>
      </c>
      <c r="AB24" s="24">
        <v>101.325</v>
      </c>
      <c r="AC24" s="24">
        <v>2.9253204952620151</v>
      </c>
      <c r="AD24" s="24">
        <v>105</v>
      </c>
      <c r="AE24" s="24">
        <v>100.875</v>
      </c>
      <c r="AF24" s="24">
        <v>99.224999999999994</v>
      </c>
      <c r="AG24" s="24">
        <v>98.55</v>
      </c>
    </row>
    <row r="25" spans="1:33">
      <c r="A25" s="63" t="s">
        <v>57</v>
      </c>
      <c r="B25" s="23" t="s">
        <v>59</v>
      </c>
      <c r="C25" s="23">
        <v>5</v>
      </c>
      <c r="D25" s="23">
        <v>5</v>
      </c>
      <c r="E25" s="27">
        <v>25</v>
      </c>
      <c r="F25" s="31">
        <v>5</v>
      </c>
      <c r="G25" s="23" t="s">
        <v>77</v>
      </c>
      <c r="H25" s="27">
        <v>5</v>
      </c>
      <c r="I25" s="33">
        <v>2</v>
      </c>
      <c r="J25" s="24">
        <v>5.1261279647000002</v>
      </c>
      <c r="K25" s="24">
        <v>0.45885002909801292</v>
      </c>
      <c r="L25" s="24">
        <v>4.6126126126000004</v>
      </c>
      <c r="M25" s="24">
        <v>4.9387755102000002</v>
      </c>
      <c r="N25" s="24">
        <v>5.5166666666999999</v>
      </c>
      <c r="O25" s="24">
        <v>5.6952380951999997</v>
      </c>
      <c r="P25" s="24">
        <v>83.1</v>
      </c>
      <c r="Q25" s="24">
        <v>3.7062447301817492</v>
      </c>
      <c r="R25" s="24">
        <v>86.7</v>
      </c>
      <c r="S25" s="24">
        <v>84.3</v>
      </c>
      <c r="T25" s="24">
        <v>79.95</v>
      </c>
      <c r="U25" s="24">
        <v>78.45</v>
      </c>
      <c r="V25" s="24">
        <v>4.8700170067999986</v>
      </c>
      <c r="W25" s="24">
        <v>1.286093415166369</v>
      </c>
      <c r="X25" s="24">
        <v>2.6458333333000001</v>
      </c>
      <c r="Y25" s="24">
        <v>5.5166666666999999</v>
      </c>
      <c r="Z25" s="24">
        <v>5.625</v>
      </c>
      <c r="AA25" s="24">
        <v>5.6952380951999997</v>
      </c>
      <c r="AB25" s="24">
        <v>79.53</v>
      </c>
      <c r="AC25" s="24">
        <v>4.2997965068128536</v>
      </c>
      <c r="AD25" s="24">
        <v>86.7</v>
      </c>
      <c r="AE25" s="24">
        <v>78.45</v>
      </c>
      <c r="AF25" s="24">
        <v>76.349999999999994</v>
      </c>
      <c r="AG25" s="24">
        <v>76.2</v>
      </c>
    </row>
    <row r="26" spans="1:33">
      <c r="A26" s="63"/>
      <c r="B26" s="23" t="s">
        <v>60</v>
      </c>
      <c r="C26" s="23">
        <v>4</v>
      </c>
      <c r="D26" s="23">
        <v>4</v>
      </c>
      <c r="E26" s="27">
        <v>15</v>
      </c>
      <c r="F26" s="31">
        <v>3.75</v>
      </c>
      <c r="G26" s="23" t="s">
        <v>77</v>
      </c>
      <c r="H26" s="27">
        <v>4</v>
      </c>
      <c r="I26" s="33">
        <v>0</v>
      </c>
      <c r="J26" s="24">
        <v>6.5488886559749986</v>
      </c>
      <c r="K26" s="24">
        <v>0.58627065337048268</v>
      </c>
      <c r="L26" s="24">
        <v>5.8936170212999999</v>
      </c>
      <c r="M26" s="24">
        <v>6.4761904762000002</v>
      </c>
      <c r="N26" s="24">
        <v>6.5057471264000002</v>
      </c>
      <c r="O26" s="24">
        <v>7.32</v>
      </c>
      <c r="P26" s="24">
        <v>85.2</v>
      </c>
      <c r="Q26" s="24">
        <v>1.787456293171948</v>
      </c>
      <c r="R26" s="24">
        <v>87.15</v>
      </c>
      <c r="S26" s="24">
        <v>86.25</v>
      </c>
      <c r="T26" s="24">
        <v>84</v>
      </c>
      <c r="U26" s="24">
        <v>83.4</v>
      </c>
      <c r="V26" s="24">
        <v>6.5488886559749986</v>
      </c>
      <c r="W26" s="24">
        <v>0.58627065337048268</v>
      </c>
      <c r="X26" s="24">
        <v>5.8936170212999999</v>
      </c>
      <c r="Y26" s="24">
        <v>6.4761904762000002</v>
      </c>
      <c r="Z26" s="24">
        <v>6.5057471264000002</v>
      </c>
      <c r="AA26" s="24">
        <v>7.32</v>
      </c>
      <c r="AB26" s="24">
        <v>85.2</v>
      </c>
      <c r="AC26" s="24">
        <v>1.787456293171948</v>
      </c>
      <c r="AD26" s="24">
        <v>87.15</v>
      </c>
      <c r="AE26" s="24">
        <v>85.125</v>
      </c>
      <c r="AF26" s="24">
        <v>83.85</v>
      </c>
      <c r="AG26" s="24">
        <v>83.4</v>
      </c>
    </row>
    <row r="27" spans="1:33">
      <c r="A27" s="63"/>
      <c r="B27" s="23" t="s">
        <v>61</v>
      </c>
      <c r="C27" s="23">
        <v>5</v>
      </c>
      <c r="D27" s="23">
        <v>5</v>
      </c>
      <c r="E27" s="27">
        <v>15</v>
      </c>
      <c r="F27" s="31">
        <v>3</v>
      </c>
      <c r="G27" s="23" t="s">
        <v>77</v>
      </c>
      <c r="H27" s="27">
        <v>5</v>
      </c>
      <c r="I27" s="33">
        <v>3</v>
      </c>
      <c r="J27" s="24">
        <v>6.1181110781200001</v>
      </c>
      <c r="K27" s="24">
        <v>0.26636861820954821</v>
      </c>
      <c r="L27" s="24">
        <v>5.8461538462</v>
      </c>
      <c r="M27" s="24">
        <v>5.9729729730000001</v>
      </c>
      <c r="N27" s="24">
        <v>6.4</v>
      </c>
      <c r="O27" s="24">
        <v>6.4095238094999996</v>
      </c>
      <c r="P27" s="24">
        <v>83.19</v>
      </c>
      <c r="Q27" s="24">
        <v>7.9899468083335803</v>
      </c>
      <c r="R27" s="24">
        <v>96.6</v>
      </c>
      <c r="S27" s="24">
        <v>81.45</v>
      </c>
      <c r="T27" s="24">
        <v>79.05</v>
      </c>
      <c r="U27" s="24">
        <v>75.75</v>
      </c>
      <c r="V27" s="24">
        <v>6.3288317571399997</v>
      </c>
      <c r="W27" s="24">
        <v>0.22413109390617189</v>
      </c>
      <c r="X27" s="24">
        <v>5.9619047618999996</v>
      </c>
      <c r="Y27" s="24">
        <v>6.4095238094999996</v>
      </c>
      <c r="Z27" s="24">
        <v>6.4851485148999997</v>
      </c>
      <c r="AA27" s="24">
        <v>6.5098039215999997</v>
      </c>
      <c r="AB27" s="24">
        <v>74.010000000000005</v>
      </c>
      <c r="AC27" s="24">
        <v>4.973353999063411</v>
      </c>
      <c r="AD27" s="24">
        <v>81.45</v>
      </c>
      <c r="AE27" s="24">
        <v>72.75</v>
      </c>
      <c r="AF27" s="24">
        <v>72</v>
      </c>
      <c r="AG27" s="24">
        <v>68.099999999999994</v>
      </c>
    </row>
    <row r="28" spans="1:33">
      <c r="A28" s="23" t="s">
        <v>63</v>
      </c>
      <c r="B28" s="23" t="s">
        <v>64</v>
      </c>
      <c r="C28" s="23">
        <v>3</v>
      </c>
      <c r="D28" s="23">
        <v>3</v>
      </c>
      <c r="E28" s="27">
        <v>24</v>
      </c>
      <c r="F28" s="31">
        <v>8</v>
      </c>
      <c r="G28" s="23" t="s">
        <v>77</v>
      </c>
      <c r="H28" s="27">
        <v>3</v>
      </c>
      <c r="I28" s="33">
        <v>1</v>
      </c>
      <c r="J28" s="24">
        <v>5.0214233841666669</v>
      </c>
      <c r="K28" s="24">
        <v>0.40607463972272689</v>
      </c>
      <c r="L28" s="24">
        <v>4.7777777777999999</v>
      </c>
      <c r="M28" s="24">
        <v>4.7962962963000004</v>
      </c>
      <c r="N28" s="24">
        <v>5.4901960784000003</v>
      </c>
      <c r="O28" s="24">
        <v>5.4901960784000003</v>
      </c>
      <c r="P28" s="24">
        <v>87.95</v>
      </c>
      <c r="Q28" s="24">
        <v>2.4109126902482392</v>
      </c>
      <c r="R28" s="24">
        <v>89.7</v>
      </c>
      <c r="S28" s="24">
        <v>88.95</v>
      </c>
      <c r="T28" s="24">
        <v>85.2</v>
      </c>
      <c r="U28" s="24">
        <v>85.2</v>
      </c>
      <c r="V28" s="24">
        <v>4.9278659611999993</v>
      </c>
      <c r="W28" s="24">
        <v>0.24409852829052059</v>
      </c>
      <c r="X28" s="24">
        <v>4.7777777777999999</v>
      </c>
      <c r="Y28" s="24">
        <v>4.7962962963000004</v>
      </c>
      <c r="Z28" s="24">
        <v>5.2095238095000003</v>
      </c>
      <c r="AA28" s="24">
        <v>5.2095238095000003</v>
      </c>
      <c r="AB28" s="24">
        <v>87.899999999999991</v>
      </c>
      <c r="AC28" s="24">
        <v>2.4964975465639889</v>
      </c>
      <c r="AD28" s="24">
        <v>89.7</v>
      </c>
      <c r="AE28" s="24">
        <v>88.95</v>
      </c>
      <c r="AF28" s="24">
        <v>87</v>
      </c>
      <c r="AG28" s="24">
        <v>85.05</v>
      </c>
    </row>
    <row r="29" spans="1:33">
      <c r="A29" s="23" t="s">
        <v>65</v>
      </c>
      <c r="B29" s="23" t="s">
        <v>66</v>
      </c>
      <c r="C29" s="23">
        <v>8</v>
      </c>
      <c r="D29" s="23">
        <v>8</v>
      </c>
      <c r="E29" s="27">
        <v>26</v>
      </c>
      <c r="F29" s="31">
        <v>3.25</v>
      </c>
      <c r="G29" s="23" t="s">
        <v>77</v>
      </c>
      <c r="H29" s="27">
        <v>8</v>
      </c>
      <c r="I29" s="33">
        <v>0</v>
      </c>
      <c r="J29" s="24">
        <v>5.6413545333375001</v>
      </c>
      <c r="K29" s="24">
        <v>0.69134565870370224</v>
      </c>
      <c r="L29" s="24">
        <v>4.5151515152000004</v>
      </c>
      <c r="M29" s="24">
        <v>5.7878787879000004</v>
      </c>
      <c r="N29" s="24">
        <v>6.1666666667000003</v>
      </c>
      <c r="O29" s="24">
        <v>6.4444444444000002</v>
      </c>
      <c r="P29" s="24">
        <v>82.631249999999994</v>
      </c>
      <c r="Q29" s="24">
        <v>4.2315935448210791</v>
      </c>
      <c r="R29" s="24">
        <v>90.3</v>
      </c>
      <c r="S29" s="24">
        <v>83.55</v>
      </c>
      <c r="T29" s="24">
        <v>80.55</v>
      </c>
      <c r="U29" s="24">
        <v>76.650000000000006</v>
      </c>
      <c r="V29" s="24">
        <v>5.6413545333375001</v>
      </c>
      <c r="W29" s="24">
        <v>0.69134565870370224</v>
      </c>
      <c r="X29" s="24">
        <v>4.5151515152000004</v>
      </c>
      <c r="Y29" s="24">
        <v>5.7878787879000004</v>
      </c>
      <c r="Z29" s="24">
        <v>6.1666666667000003</v>
      </c>
      <c r="AA29" s="24">
        <v>6.4444444444000002</v>
      </c>
      <c r="AB29" s="24">
        <v>82.631249999999994</v>
      </c>
      <c r="AC29" s="24">
        <v>4.2315935448210791</v>
      </c>
      <c r="AD29" s="24">
        <v>90.3</v>
      </c>
      <c r="AE29" s="24">
        <v>82.275000000000006</v>
      </c>
      <c r="AF29" s="24">
        <v>80.25</v>
      </c>
      <c r="AG29" s="24">
        <v>76.650000000000006</v>
      </c>
    </row>
    <row r="30" spans="1:33">
      <c r="A30" s="23" t="s">
        <v>112</v>
      </c>
      <c r="B30" s="23" t="s">
        <v>62</v>
      </c>
      <c r="C30" s="23">
        <v>5</v>
      </c>
      <c r="D30" s="23">
        <v>10</v>
      </c>
      <c r="E30" s="27">
        <v>58</v>
      </c>
      <c r="F30" s="31">
        <v>5.8</v>
      </c>
      <c r="G30" s="23" t="s">
        <v>77</v>
      </c>
      <c r="H30" s="27">
        <v>10</v>
      </c>
      <c r="I30" s="33">
        <v>3</v>
      </c>
      <c r="J30" s="24">
        <v>4.8449463364299996</v>
      </c>
      <c r="K30" s="24">
        <v>0.59016091492180722</v>
      </c>
      <c r="L30" s="24">
        <v>3.4590163933999998</v>
      </c>
      <c r="M30" s="24">
        <v>4.7647058824000004</v>
      </c>
      <c r="N30" s="24">
        <v>5.1964285714000003</v>
      </c>
      <c r="O30" s="24">
        <v>5.6730769231</v>
      </c>
      <c r="P30" s="24">
        <v>83.46</v>
      </c>
      <c r="Q30" s="24">
        <v>3.1418147622035271</v>
      </c>
      <c r="R30" s="24">
        <v>88.8</v>
      </c>
      <c r="S30" s="24">
        <v>83.25</v>
      </c>
      <c r="T30" s="24">
        <v>80.55</v>
      </c>
      <c r="U30" s="24">
        <v>80.099999999999994</v>
      </c>
      <c r="V30" s="24">
        <v>4.8814758093800004</v>
      </c>
      <c r="W30" s="24">
        <v>0.58556388954312533</v>
      </c>
      <c r="X30" s="24">
        <v>3.4590163933999998</v>
      </c>
      <c r="Y30" s="24">
        <v>4.7647058824000004</v>
      </c>
      <c r="Z30" s="24">
        <v>5.3131313131000004</v>
      </c>
      <c r="AA30" s="24">
        <v>5.4807692308</v>
      </c>
      <c r="AB30" s="24">
        <v>82.35</v>
      </c>
      <c r="AC30" s="24">
        <v>4.2011903075199992</v>
      </c>
      <c r="AD30" s="24">
        <v>88.8</v>
      </c>
      <c r="AE30" s="24">
        <v>82.05</v>
      </c>
      <c r="AF30" s="24">
        <v>79.3125</v>
      </c>
      <c r="AG30" s="24">
        <v>76.650000000000006</v>
      </c>
    </row>
  </sheetData>
  <mergeCells count="21">
    <mergeCell ref="A4:A7"/>
    <mergeCell ref="A8:A15"/>
    <mergeCell ref="A17:A18"/>
    <mergeCell ref="A23:A24"/>
    <mergeCell ref="A25:A27"/>
    <mergeCell ref="AB2:AG2"/>
    <mergeCell ref="V1:AG1"/>
    <mergeCell ref="V2:AA2"/>
    <mergeCell ref="C1:C3"/>
    <mergeCell ref="D1:I1"/>
    <mergeCell ref="D2:D3"/>
    <mergeCell ref="E2:E3"/>
    <mergeCell ref="F2:F3"/>
    <mergeCell ref="G2:G3"/>
    <mergeCell ref="H2:H3"/>
    <mergeCell ref="I2:I3"/>
    <mergeCell ref="A1:A3"/>
    <mergeCell ref="B1:B3"/>
    <mergeCell ref="J2:O2"/>
    <mergeCell ref="P2:U2"/>
    <mergeCell ref="J1:U1"/>
  </mergeCells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G51"/>
  <sheetViews>
    <sheetView zoomScale="85" zoomScaleNormal="85" workbookViewId="0">
      <pane xSplit="2" ySplit="3" topLeftCell="O4" activePane="bottomRight" state="frozen"/>
      <selection pane="topRight"/>
      <selection pane="bottomLeft"/>
      <selection pane="bottomRight" activeCell="W12" sqref="W12"/>
    </sheetView>
  </sheetViews>
  <sheetFormatPr defaultRowHeight="16.5"/>
  <cols>
    <col min="1" max="1" width="14" style="6" customWidth="1"/>
    <col min="2" max="2" width="36.625" style="6" customWidth="1"/>
    <col min="3" max="3" width="11.5" customWidth="1"/>
    <col min="4" max="7" width="10" customWidth="1"/>
    <col min="8" max="8" width="7.875" customWidth="1"/>
    <col min="9" max="9" width="9.875" customWidth="1"/>
    <col min="10" max="33" width="11" customWidth="1"/>
  </cols>
  <sheetData>
    <row r="1" spans="1:33">
      <c r="A1" s="90" t="s">
        <v>2</v>
      </c>
      <c r="B1" s="90" t="s">
        <v>3</v>
      </c>
      <c r="C1" s="86" t="s">
        <v>79</v>
      </c>
      <c r="D1" s="71" t="s">
        <v>78</v>
      </c>
      <c r="E1" s="71"/>
      <c r="F1" s="71"/>
      <c r="G1" s="71"/>
      <c r="H1" s="71"/>
      <c r="I1" s="71"/>
      <c r="J1" s="75" t="s">
        <v>113</v>
      </c>
      <c r="K1" s="76"/>
      <c r="L1" s="76"/>
      <c r="M1" s="76"/>
      <c r="N1" s="76"/>
      <c r="O1" s="76"/>
      <c r="P1" s="76"/>
      <c r="Q1" s="76"/>
      <c r="R1" s="76"/>
      <c r="S1" s="76"/>
      <c r="T1" s="76"/>
      <c r="U1" s="77"/>
      <c r="V1" s="75" t="s">
        <v>116</v>
      </c>
      <c r="W1" s="76"/>
      <c r="X1" s="76"/>
      <c r="Y1" s="76"/>
      <c r="Z1" s="76"/>
      <c r="AA1" s="76"/>
      <c r="AB1" s="76"/>
      <c r="AC1" s="76"/>
      <c r="AD1" s="76"/>
      <c r="AE1" s="76"/>
      <c r="AF1" s="76"/>
      <c r="AG1" s="77"/>
    </row>
    <row r="2" spans="1:33" ht="21.95" customHeight="1">
      <c r="A2" s="91"/>
      <c r="B2" s="91"/>
      <c r="C2" s="86"/>
      <c r="D2" s="71" t="s">
        <v>70</v>
      </c>
      <c r="E2" s="71" t="s">
        <v>71</v>
      </c>
      <c r="F2" s="71" t="s">
        <v>72</v>
      </c>
      <c r="G2" s="86" t="s">
        <v>73</v>
      </c>
      <c r="H2" s="86" t="s">
        <v>74</v>
      </c>
      <c r="I2" s="86" t="s">
        <v>75</v>
      </c>
      <c r="J2" s="87" t="s">
        <v>4</v>
      </c>
      <c r="K2" s="88"/>
      <c r="L2" s="88"/>
      <c r="M2" s="88"/>
      <c r="N2" s="88"/>
      <c r="O2" s="89"/>
      <c r="P2" s="75" t="s">
        <v>115</v>
      </c>
      <c r="Q2" s="76"/>
      <c r="R2" s="76"/>
      <c r="S2" s="76"/>
      <c r="T2" s="76"/>
      <c r="U2" s="77"/>
      <c r="V2" s="87" t="s">
        <v>4</v>
      </c>
      <c r="W2" s="88"/>
      <c r="X2" s="88"/>
      <c r="Y2" s="88"/>
      <c r="Z2" s="88"/>
      <c r="AA2" s="89"/>
      <c r="AB2" s="75" t="s">
        <v>119</v>
      </c>
      <c r="AC2" s="76"/>
      <c r="AD2" s="76"/>
      <c r="AE2" s="76"/>
      <c r="AF2" s="76"/>
      <c r="AG2" s="77"/>
    </row>
    <row r="3" spans="1:33" ht="21.95" customHeight="1">
      <c r="A3" s="92"/>
      <c r="B3" s="92"/>
      <c r="C3" s="86"/>
      <c r="D3" s="71"/>
      <c r="E3" s="71"/>
      <c r="F3" s="71"/>
      <c r="G3" s="86"/>
      <c r="H3" s="86"/>
      <c r="I3" s="86"/>
      <c r="J3" s="1" t="s">
        <v>6</v>
      </c>
      <c r="K3" s="1" t="s">
        <v>7</v>
      </c>
      <c r="L3" s="1" t="s">
        <v>10</v>
      </c>
      <c r="M3" s="1" t="s">
        <v>8</v>
      </c>
      <c r="N3" s="1" t="s">
        <v>9</v>
      </c>
      <c r="O3" s="1" t="s">
        <v>11</v>
      </c>
      <c r="P3" s="1" t="s">
        <v>6</v>
      </c>
      <c r="Q3" s="1" t="s">
        <v>7</v>
      </c>
      <c r="R3" s="1" t="s">
        <v>12</v>
      </c>
      <c r="S3" s="1" t="s">
        <v>8</v>
      </c>
      <c r="T3" s="1" t="s">
        <v>9</v>
      </c>
      <c r="U3" s="1" t="s">
        <v>13</v>
      </c>
      <c r="V3" s="1" t="s">
        <v>6</v>
      </c>
      <c r="W3" s="1" t="s">
        <v>7</v>
      </c>
      <c r="X3" s="1" t="s">
        <v>10</v>
      </c>
      <c r="Y3" s="1" t="s">
        <v>8</v>
      </c>
      <c r="Z3" s="1" t="s">
        <v>9</v>
      </c>
      <c r="AA3" s="1" t="s">
        <v>11</v>
      </c>
      <c r="AB3" s="1" t="s">
        <v>6</v>
      </c>
      <c r="AC3" s="1" t="s">
        <v>7</v>
      </c>
      <c r="AD3" s="1" t="s">
        <v>12</v>
      </c>
      <c r="AE3" s="1" t="s">
        <v>8</v>
      </c>
      <c r="AF3" s="1" t="s">
        <v>9</v>
      </c>
      <c r="AG3" s="1" t="s">
        <v>13</v>
      </c>
    </row>
    <row r="4" spans="1:33">
      <c r="A4" s="90" t="s">
        <v>14</v>
      </c>
      <c r="B4" s="17" t="s">
        <v>15</v>
      </c>
      <c r="C4" s="2">
        <v>2</v>
      </c>
      <c r="D4" s="2">
        <v>2</v>
      </c>
      <c r="E4" s="2">
        <v>6</v>
      </c>
      <c r="F4" s="2">
        <v>3</v>
      </c>
      <c r="G4" s="2" t="s">
        <v>77</v>
      </c>
      <c r="H4" s="2">
        <v>1</v>
      </c>
      <c r="I4" s="2">
        <v>2</v>
      </c>
      <c r="J4" s="39">
        <v>5.0750327653999996</v>
      </c>
      <c r="K4" s="39">
        <v>0.1969334089348273</v>
      </c>
      <c r="L4" s="39">
        <v>4.9357798165000002</v>
      </c>
      <c r="M4" s="39">
        <v>4.9357798165000002</v>
      </c>
      <c r="N4" s="39">
        <v>5.2142857142999999</v>
      </c>
      <c r="O4" s="39">
        <v>5.2142857142999999</v>
      </c>
      <c r="P4" s="39">
        <v>93.300000000000011</v>
      </c>
      <c r="Q4" s="39">
        <v>6.5760930650348914</v>
      </c>
      <c r="R4" s="39">
        <v>97.95</v>
      </c>
      <c r="S4" s="39">
        <v>97.95</v>
      </c>
      <c r="T4" s="39">
        <v>88.65</v>
      </c>
      <c r="U4" s="39">
        <v>88.65</v>
      </c>
      <c r="V4" s="39">
        <v>5.1909090909</v>
      </c>
      <c r="W4" s="39"/>
      <c r="X4" s="39">
        <v>5.1909090909</v>
      </c>
      <c r="Y4" s="39">
        <v>5.1909090909</v>
      </c>
      <c r="Z4" s="39">
        <v>5.1909090909</v>
      </c>
      <c r="AA4" s="39">
        <v>5.1909090909</v>
      </c>
      <c r="AB4" s="39">
        <v>86.7</v>
      </c>
      <c r="AC4" s="39"/>
      <c r="AD4" s="39">
        <v>86.7</v>
      </c>
      <c r="AE4" s="39">
        <v>86.7</v>
      </c>
      <c r="AF4" s="39">
        <v>86.7</v>
      </c>
      <c r="AG4" s="39">
        <v>86.7</v>
      </c>
    </row>
    <row r="5" spans="1:33">
      <c r="A5" s="91"/>
      <c r="B5" s="17" t="s">
        <v>16</v>
      </c>
      <c r="C5" s="2">
        <v>2</v>
      </c>
      <c r="D5" s="2">
        <v>2</v>
      </c>
      <c r="E5" s="28">
        <v>5</v>
      </c>
      <c r="F5" s="28">
        <v>2.5</v>
      </c>
      <c r="G5" s="2" t="s">
        <v>77</v>
      </c>
      <c r="H5" s="28">
        <v>1</v>
      </c>
      <c r="I5" s="34">
        <v>3</v>
      </c>
      <c r="J5" s="39">
        <v>4.9026571282500004</v>
      </c>
      <c r="K5" s="39">
        <v>0.6586896586798856</v>
      </c>
      <c r="L5" s="39">
        <v>4.4368932039000004</v>
      </c>
      <c r="M5" s="39">
        <v>4.4368932039000004</v>
      </c>
      <c r="N5" s="39">
        <v>5.3684210525999996</v>
      </c>
      <c r="O5" s="39">
        <v>5.3684210525999996</v>
      </c>
      <c r="P5" s="39">
        <v>88.8</v>
      </c>
      <c r="Q5" s="39">
        <v>3.6062445840513879</v>
      </c>
      <c r="R5" s="39">
        <v>91.35</v>
      </c>
      <c r="S5" s="39">
        <v>91.35</v>
      </c>
      <c r="T5" s="39">
        <v>86.25</v>
      </c>
      <c r="U5" s="39">
        <v>86.25</v>
      </c>
      <c r="V5" s="39">
        <v>7.0272727272999997</v>
      </c>
      <c r="W5" s="39"/>
      <c r="X5" s="39">
        <v>7.0272727272999997</v>
      </c>
      <c r="Y5" s="39">
        <v>7.0272727272999997</v>
      </c>
      <c r="Z5" s="39">
        <v>7.0272727272999997</v>
      </c>
      <c r="AA5" s="39">
        <v>7.0272727272999997</v>
      </c>
      <c r="AB5" s="39">
        <v>73.8</v>
      </c>
      <c r="AC5" s="39"/>
      <c r="AD5" s="39">
        <v>73.8</v>
      </c>
      <c r="AE5" s="39">
        <v>73.8</v>
      </c>
      <c r="AF5" s="39">
        <v>73.8</v>
      </c>
      <c r="AG5" s="39">
        <v>73.8</v>
      </c>
    </row>
    <row r="6" spans="1:33">
      <c r="A6" s="91"/>
      <c r="B6" s="17" t="s">
        <v>17</v>
      </c>
      <c r="C6" s="2">
        <v>2</v>
      </c>
      <c r="D6" s="2">
        <v>2</v>
      </c>
      <c r="E6" s="28">
        <v>5</v>
      </c>
      <c r="F6" s="28">
        <v>2.5</v>
      </c>
      <c r="G6" s="2" t="s">
        <v>77</v>
      </c>
      <c r="H6" s="28">
        <v>2</v>
      </c>
      <c r="I6" s="34">
        <v>0</v>
      </c>
      <c r="J6" s="39">
        <v>5.5873015872999998</v>
      </c>
      <c r="K6" s="39"/>
      <c r="L6" s="39">
        <v>5.5873015872999998</v>
      </c>
      <c r="M6" s="39">
        <v>5.5873015872999998</v>
      </c>
      <c r="N6" s="39">
        <v>5.5873015872999998</v>
      </c>
      <c r="O6" s="39">
        <v>5.5873015872999998</v>
      </c>
      <c r="P6" s="39">
        <v>66.45</v>
      </c>
      <c r="Q6" s="39">
        <v>2.545584412271567</v>
      </c>
      <c r="R6" s="39">
        <v>68.25</v>
      </c>
      <c r="S6" s="39">
        <v>68.25</v>
      </c>
      <c r="T6" s="39">
        <v>64.650000000000006</v>
      </c>
      <c r="U6" s="39">
        <v>64.650000000000006</v>
      </c>
      <c r="V6" s="39">
        <v>5.5873015872999998</v>
      </c>
      <c r="W6" s="39"/>
      <c r="X6" s="39">
        <v>5.5873015872999998</v>
      </c>
      <c r="Y6" s="39">
        <v>5.5873015872999998</v>
      </c>
      <c r="Z6" s="39">
        <v>5.5873015872999998</v>
      </c>
      <c r="AA6" s="39">
        <v>5.5873015872999998</v>
      </c>
      <c r="AB6" s="39">
        <v>66.45</v>
      </c>
      <c r="AC6" s="39">
        <v>2.545584412271567</v>
      </c>
      <c r="AD6" s="39">
        <v>68.25</v>
      </c>
      <c r="AE6" s="39">
        <v>66.45</v>
      </c>
      <c r="AF6" s="39">
        <v>65.550000000000011</v>
      </c>
      <c r="AG6" s="39">
        <v>64.650000000000006</v>
      </c>
    </row>
    <row r="7" spans="1:33">
      <c r="A7" s="91"/>
      <c r="B7" s="17" t="s">
        <v>18</v>
      </c>
      <c r="C7" s="2">
        <v>2</v>
      </c>
      <c r="D7" s="2">
        <v>2</v>
      </c>
      <c r="E7" s="28">
        <v>8</v>
      </c>
      <c r="F7" s="28">
        <v>4</v>
      </c>
      <c r="G7" s="2" t="s">
        <v>77</v>
      </c>
      <c r="H7" s="28">
        <v>2</v>
      </c>
      <c r="I7" s="34">
        <v>4</v>
      </c>
      <c r="J7" s="39">
        <v>5.3889882473000004</v>
      </c>
      <c r="K7" s="39">
        <v>0.43846401583045458</v>
      </c>
      <c r="L7" s="39">
        <v>5.0789473683999997</v>
      </c>
      <c r="M7" s="39">
        <v>5.0789473683999997</v>
      </c>
      <c r="N7" s="39">
        <v>5.6990291262000001</v>
      </c>
      <c r="O7" s="39">
        <v>5.6990291262000001</v>
      </c>
      <c r="P7" s="39">
        <v>84.300000000000011</v>
      </c>
      <c r="Q7" s="39">
        <v>1.9091883092036801</v>
      </c>
      <c r="R7" s="39">
        <v>85.65</v>
      </c>
      <c r="S7" s="39">
        <v>85.65</v>
      </c>
      <c r="T7" s="39">
        <v>82.95</v>
      </c>
      <c r="U7" s="39">
        <v>82.95</v>
      </c>
      <c r="V7" s="39">
        <v>6.2974312297499999</v>
      </c>
      <c r="W7" s="39">
        <v>0.84626837059299886</v>
      </c>
      <c r="X7" s="39">
        <v>5.6990291262000001</v>
      </c>
      <c r="Y7" s="39">
        <v>6.2974312297499999</v>
      </c>
      <c r="Z7" s="39">
        <v>6.5966322815250003</v>
      </c>
      <c r="AA7" s="39">
        <v>6.8958333332999997</v>
      </c>
      <c r="AB7" s="39">
        <v>73.724999999999994</v>
      </c>
      <c r="AC7" s="39">
        <v>16.86449673129917</v>
      </c>
      <c r="AD7" s="39">
        <v>85.65</v>
      </c>
      <c r="AE7" s="39">
        <v>73.724999999999994</v>
      </c>
      <c r="AF7" s="39">
        <v>67.762500000000003</v>
      </c>
      <c r="AG7" s="39">
        <v>61.8</v>
      </c>
    </row>
    <row r="8" spans="1:33">
      <c r="A8" s="91"/>
      <c r="B8" s="17" t="s">
        <v>19</v>
      </c>
      <c r="C8" s="2">
        <v>2</v>
      </c>
      <c r="D8" s="2">
        <v>2</v>
      </c>
      <c r="E8" s="28">
        <v>6</v>
      </c>
      <c r="F8" s="28">
        <v>3</v>
      </c>
      <c r="G8" s="2" t="s">
        <v>77</v>
      </c>
      <c r="H8" s="28">
        <v>1</v>
      </c>
      <c r="I8" s="34">
        <v>0</v>
      </c>
      <c r="J8" s="39">
        <v>5.2698570129999993</v>
      </c>
      <c r="K8" s="39">
        <v>0.96770593297347685</v>
      </c>
      <c r="L8" s="39">
        <v>4.5855855855999996</v>
      </c>
      <c r="M8" s="39">
        <v>4.5855855855999996</v>
      </c>
      <c r="N8" s="39">
        <v>5.9541284403999999</v>
      </c>
      <c r="O8" s="39">
        <v>5.9541284403999999</v>
      </c>
      <c r="P8" s="39">
        <v>93.224999999999994</v>
      </c>
      <c r="Q8" s="39">
        <v>2.8637824638055149</v>
      </c>
      <c r="R8" s="39">
        <v>95.25</v>
      </c>
      <c r="S8" s="39">
        <v>95.25</v>
      </c>
      <c r="T8" s="39">
        <v>91.2</v>
      </c>
      <c r="U8" s="39">
        <v>91.2</v>
      </c>
      <c r="V8" s="39">
        <v>5.9541284403999999</v>
      </c>
      <c r="W8" s="39"/>
      <c r="X8" s="39">
        <v>5.9541284403999999</v>
      </c>
      <c r="Y8" s="39">
        <v>5.9541284403999999</v>
      </c>
      <c r="Z8" s="39">
        <v>5.9541284403999999</v>
      </c>
      <c r="AA8" s="39">
        <v>5.9541284403999999</v>
      </c>
      <c r="AB8" s="39">
        <v>91.2</v>
      </c>
      <c r="AC8" s="39"/>
      <c r="AD8" s="39">
        <v>91.2</v>
      </c>
      <c r="AE8" s="39">
        <v>91.2</v>
      </c>
      <c r="AF8" s="39">
        <v>91.2</v>
      </c>
      <c r="AG8" s="39">
        <v>91.2</v>
      </c>
    </row>
    <row r="9" spans="1:33">
      <c r="A9" s="91"/>
      <c r="B9" s="17" t="s">
        <v>20</v>
      </c>
      <c r="C9" s="2">
        <v>2</v>
      </c>
      <c r="D9" s="2">
        <v>2</v>
      </c>
      <c r="E9" s="28">
        <v>9</v>
      </c>
      <c r="F9" s="28">
        <v>4.5</v>
      </c>
      <c r="G9" s="2" t="s">
        <v>77</v>
      </c>
      <c r="H9" s="28">
        <v>2</v>
      </c>
      <c r="I9" s="34">
        <v>1</v>
      </c>
      <c r="J9" s="39">
        <v>4.8173913043500001</v>
      </c>
      <c r="K9" s="39">
        <v>2.4595018479128549E-2</v>
      </c>
      <c r="L9" s="39">
        <v>4.8</v>
      </c>
      <c r="M9" s="39">
        <v>4.8</v>
      </c>
      <c r="N9" s="39">
        <v>4.8347826087000003</v>
      </c>
      <c r="O9" s="39">
        <v>4.8347826087000003</v>
      </c>
      <c r="P9" s="39">
        <v>99</v>
      </c>
      <c r="Q9" s="39">
        <v>3.3941125496954361</v>
      </c>
      <c r="R9" s="39">
        <v>101.4</v>
      </c>
      <c r="S9" s="39">
        <v>101.4</v>
      </c>
      <c r="T9" s="39">
        <v>96.6</v>
      </c>
      <c r="U9" s="39">
        <v>96.6</v>
      </c>
      <c r="V9" s="39">
        <v>4.8863636363499996</v>
      </c>
      <c r="W9" s="39">
        <v>0.12213662582202831</v>
      </c>
      <c r="X9" s="39">
        <v>4.8</v>
      </c>
      <c r="Y9" s="39">
        <v>4.8863636363499996</v>
      </c>
      <c r="Z9" s="39">
        <v>4.9295454545249999</v>
      </c>
      <c r="AA9" s="39">
        <v>4.9727272727000003</v>
      </c>
      <c r="AB9" s="39">
        <v>97.2</v>
      </c>
      <c r="AC9" s="39">
        <v>5.9396969619670026</v>
      </c>
      <c r="AD9" s="39">
        <v>101.4</v>
      </c>
      <c r="AE9" s="39">
        <v>97.2</v>
      </c>
      <c r="AF9" s="39">
        <v>95.1</v>
      </c>
      <c r="AG9" s="39">
        <v>93</v>
      </c>
    </row>
    <row r="10" spans="1:33">
      <c r="A10" s="92"/>
      <c r="B10" s="17" t="s">
        <v>21</v>
      </c>
      <c r="C10" s="2">
        <v>2</v>
      </c>
      <c r="D10" s="2">
        <v>2</v>
      </c>
      <c r="E10" s="28">
        <v>6</v>
      </c>
      <c r="F10" s="28">
        <v>3</v>
      </c>
      <c r="G10" s="2" t="s">
        <v>77</v>
      </c>
      <c r="H10" s="28">
        <v>2</v>
      </c>
      <c r="I10" s="34">
        <v>3</v>
      </c>
      <c r="J10" s="39">
        <v>5.5807692307500014</v>
      </c>
      <c r="K10" s="39">
        <v>0.53848901026102036</v>
      </c>
      <c r="L10" s="39">
        <v>5.2</v>
      </c>
      <c r="M10" s="39">
        <v>5.2</v>
      </c>
      <c r="N10" s="39">
        <v>5.9615384615</v>
      </c>
      <c r="O10" s="39">
        <v>5.9615384615</v>
      </c>
      <c r="P10" s="39">
        <v>86.174999999999997</v>
      </c>
      <c r="Q10" s="39">
        <v>0.5303300858899106</v>
      </c>
      <c r="R10" s="39">
        <v>86.55</v>
      </c>
      <c r="S10" s="39">
        <v>86.55</v>
      </c>
      <c r="T10" s="39">
        <v>85.8</v>
      </c>
      <c r="U10" s="39">
        <v>85.8</v>
      </c>
      <c r="V10" s="39">
        <v>7.1659977703499997</v>
      </c>
      <c r="W10" s="39">
        <v>0.34543388134409658</v>
      </c>
      <c r="X10" s="39">
        <v>6.9217391303999998</v>
      </c>
      <c r="Y10" s="39">
        <v>7.1659977703499997</v>
      </c>
      <c r="Z10" s="39">
        <v>7.2881270903250002</v>
      </c>
      <c r="AA10" s="39">
        <v>7.4102564102999997</v>
      </c>
      <c r="AB10" s="39">
        <v>70.349999999999994</v>
      </c>
      <c r="AC10" s="39">
        <v>4.8790367901871718</v>
      </c>
      <c r="AD10" s="39">
        <v>73.8</v>
      </c>
      <c r="AE10" s="39">
        <v>70.349999999999994</v>
      </c>
      <c r="AF10" s="39">
        <v>68.625</v>
      </c>
      <c r="AG10" s="39">
        <v>66.900000000000006</v>
      </c>
    </row>
    <row r="11" spans="1:33">
      <c r="A11" s="90" t="s">
        <v>22</v>
      </c>
      <c r="B11" s="17" t="s">
        <v>23</v>
      </c>
      <c r="C11" s="2">
        <v>2</v>
      </c>
      <c r="D11" s="2">
        <v>2</v>
      </c>
      <c r="E11" s="28">
        <v>8</v>
      </c>
      <c r="F11" s="28">
        <v>4</v>
      </c>
      <c r="G11" s="2" t="s">
        <v>77</v>
      </c>
      <c r="H11" s="28">
        <v>2</v>
      </c>
      <c r="I11" s="34">
        <v>0</v>
      </c>
      <c r="J11" s="39">
        <v>4.8699098798499998</v>
      </c>
      <c r="K11" s="39">
        <v>0.14432436467198409</v>
      </c>
      <c r="L11" s="39">
        <v>4.7678571428999996</v>
      </c>
      <c r="M11" s="39">
        <v>4.7678571428999996</v>
      </c>
      <c r="N11" s="39">
        <v>4.9719626168</v>
      </c>
      <c r="O11" s="39">
        <v>4.9719626168</v>
      </c>
      <c r="P11" s="39">
        <v>112.05</v>
      </c>
      <c r="Q11" s="39">
        <v>6.3639610306789276</v>
      </c>
      <c r="R11" s="39">
        <v>116.55</v>
      </c>
      <c r="S11" s="39">
        <v>116.55</v>
      </c>
      <c r="T11" s="39">
        <v>107.55</v>
      </c>
      <c r="U11" s="39">
        <v>107.55</v>
      </c>
      <c r="V11" s="39">
        <v>4.8699098798499998</v>
      </c>
      <c r="W11" s="39">
        <v>0.14432436467198409</v>
      </c>
      <c r="X11" s="39">
        <v>4.7678571428999996</v>
      </c>
      <c r="Y11" s="39">
        <v>4.8699098798499998</v>
      </c>
      <c r="Z11" s="39">
        <v>4.9209362483249999</v>
      </c>
      <c r="AA11" s="39">
        <v>4.9719626168</v>
      </c>
      <c r="AB11" s="39">
        <v>112.05</v>
      </c>
      <c r="AC11" s="39">
        <v>6.3639610306789276</v>
      </c>
      <c r="AD11" s="39">
        <v>116.55</v>
      </c>
      <c r="AE11" s="39">
        <v>112.05</v>
      </c>
      <c r="AF11" s="39">
        <v>109.8</v>
      </c>
      <c r="AG11" s="39">
        <v>107.55</v>
      </c>
    </row>
    <row r="12" spans="1:33">
      <c r="A12" s="91"/>
      <c r="B12" s="17" t="s">
        <v>24</v>
      </c>
      <c r="C12" s="2">
        <v>2</v>
      </c>
      <c r="D12" s="2">
        <v>2</v>
      </c>
      <c r="E12" s="28">
        <v>4</v>
      </c>
      <c r="F12" s="28">
        <v>2</v>
      </c>
      <c r="G12" s="2" t="s">
        <v>77</v>
      </c>
      <c r="H12" s="28">
        <v>2</v>
      </c>
      <c r="I12" s="34">
        <v>0</v>
      </c>
      <c r="J12" s="39">
        <v>5.15261211285</v>
      </c>
      <c r="K12" s="39">
        <v>0.52560623337021828</v>
      </c>
      <c r="L12" s="39">
        <v>4.7809523809999996</v>
      </c>
      <c r="M12" s="39">
        <v>4.7809523809999996</v>
      </c>
      <c r="N12" s="39">
        <v>5.5242718447000003</v>
      </c>
      <c r="O12" s="39">
        <v>5.5242718447000003</v>
      </c>
      <c r="P12" s="39">
        <v>97.875</v>
      </c>
      <c r="Q12" s="39">
        <v>3.7123106012293738</v>
      </c>
      <c r="R12" s="39">
        <v>100.5</v>
      </c>
      <c r="S12" s="39">
        <v>100.5</v>
      </c>
      <c r="T12" s="39">
        <v>95.25</v>
      </c>
      <c r="U12" s="39">
        <v>95.25</v>
      </c>
      <c r="V12" s="39">
        <v>5.15261211285</v>
      </c>
      <c r="W12" s="39">
        <v>0.52560623337021828</v>
      </c>
      <c r="X12" s="39">
        <v>4.7809523809999996</v>
      </c>
      <c r="Y12" s="39">
        <v>5.15261211285</v>
      </c>
      <c r="Z12" s="39">
        <v>5.3384419787750002</v>
      </c>
      <c r="AA12" s="39">
        <v>5.5242718447000003</v>
      </c>
      <c r="AB12" s="39">
        <v>97.875</v>
      </c>
      <c r="AC12" s="39">
        <v>3.7123106012293738</v>
      </c>
      <c r="AD12" s="39">
        <v>100.5</v>
      </c>
      <c r="AE12" s="39">
        <v>97.875</v>
      </c>
      <c r="AF12" s="39">
        <v>96.5625</v>
      </c>
      <c r="AG12" s="39">
        <v>95.25</v>
      </c>
    </row>
    <row r="13" spans="1:33">
      <c r="A13" s="91"/>
      <c r="B13" s="17" t="s">
        <v>25</v>
      </c>
      <c r="C13" s="2">
        <v>2</v>
      </c>
      <c r="D13" s="2">
        <v>2</v>
      </c>
      <c r="E13" s="28">
        <v>8</v>
      </c>
      <c r="F13" s="28">
        <v>4</v>
      </c>
      <c r="G13" s="2" t="s">
        <v>77</v>
      </c>
      <c r="H13" s="28">
        <v>2</v>
      </c>
      <c r="I13" s="34">
        <v>1</v>
      </c>
      <c r="J13" s="39">
        <v>4.6619047618999998</v>
      </c>
      <c r="K13" s="39">
        <v>0.19529615862016181</v>
      </c>
      <c r="L13" s="39">
        <v>4.5238095237999998</v>
      </c>
      <c r="M13" s="39">
        <v>4.5238095237999998</v>
      </c>
      <c r="N13" s="39">
        <v>4.8</v>
      </c>
      <c r="O13" s="39">
        <v>4.8</v>
      </c>
      <c r="P13" s="39">
        <v>108.375</v>
      </c>
      <c r="Q13" s="39">
        <v>5.1972348417211203</v>
      </c>
      <c r="R13" s="39">
        <v>112.05</v>
      </c>
      <c r="S13" s="39">
        <v>112.05</v>
      </c>
      <c r="T13" s="39">
        <v>104.7</v>
      </c>
      <c r="U13" s="39">
        <v>104.7</v>
      </c>
      <c r="V13" s="39">
        <v>4.1952380952499997</v>
      </c>
      <c r="W13" s="39">
        <v>0.46467017046371217</v>
      </c>
      <c r="X13" s="39">
        <v>3.8666666667</v>
      </c>
      <c r="Y13" s="39">
        <v>4.1952380952499997</v>
      </c>
      <c r="Z13" s="39">
        <v>4.3595238095250002</v>
      </c>
      <c r="AA13" s="39">
        <v>4.5238095237999998</v>
      </c>
      <c r="AB13" s="39">
        <v>103.8</v>
      </c>
      <c r="AC13" s="39">
        <v>1.272792206135783</v>
      </c>
      <c r="AD13" s="39">
        <v>104.7</v>
      </c>
      <c r="AE13" s="39">
        <v>103.8</v>
      </c>
      <c r="AF13" s="39">
        <v>103.35</v>
      </c>
      <c r="AG13" s="39">
        <v>102.9</v>
      </c>
    </row>
    <row r="14" spans="1:33">
      <c r="A14" s="91"/>
      <c r="B14" s="17" t="s">
        <v>26</v>
      </c>
      <c r="C14" s="2">
        <v>2</v>
      </c>
      <c r="D14" s="2">
        <v>2</v>
      </c>
      <c r="E14" s="28">
        <v>4</v>
      </c>
      <c r="F14" s="28">
        <v>2</v>
      </c>
      <c r="G14" s="2" t="s">
        <v>77</v>
      </c>
      <c r="H14" s="28">
        <v>2</v>
      </c>
      <c r="I14" s="34">
        <v>1</v>
      </c>
      <c r="J14" s="39">
        <v>5.56717687075</v>
      </c>
      <c r="K14" s="39">
        <v>0.68425809272836491</v>
      </c>
      <c r="L14" s="39">
        <v>5.0833333332999997</v>
      </c>
      <c r="M14" s="39">
        <v>5.0833333332999997</v>
      </c>
      <c r="N14" s="39">
        <v>6.0510204082000003</v>
      </c>
      <c r="O14" s="39">
        <v>6.0510204082000003</v>
      </c>
      <c r="P14" s="39">
        <v>104.625</v>
      </c>
      <c r="Q14" s="39">
        <v>7.3185551852807631</v>
      </c>
      <c r="R14" s="39">
        <v>109.8</v>
      </c>
      <c r="S14" s="39">
        <v>109.8</v>
      </c>
      <c r="T14" s="39">
        <v>99.45</v>
      </c>
      <c r="U14" s="39">
        <v>99.45</v>
      </c>
      <c r="V14" s="39">
        <v>5.6927083332999997</v>
      </c>
      <c r="W14" s="39">
        <v>0.86178638957110476</v>
      </c>
      <c r="X14" s="39">
        <v>5.0833333332999997</v>
      </c>
      <c r="Y14" s="39">
        <v>5.6927083332999997</v>
      </c>
      <c r="Z14" s="39">
        <v>5.9973958332999997</v>
      </c>
      <c r="AA14" s="39">
        <v>6.3020833332999997</v>
      </c>
      <c r="AB14" s="39">
        <v>94.724999999999994</v>
      </c>
      <c r="AC14" s="39">
        <v>21.3192694527744</v>
      </c>
      <c r="AD14" s="39">
        <v>109.8</v>
      </c>
      <c r="AE14" s="39">
        <v>94.724999999999994</v>
      </c>
      <c r="AF14" s="39">
        <v>87.1875</v>
      </c>
      <c r="AG14" s="39">
        <v>79.650000000000006</v>
      </c>
    </row>
    <row r="15" spans="1:33">
      <c r="A15" s="91"/>
      <c r="B15" s="17" t="s">
        <v>27</v>
      </c>
      <c r="C15" s="2">
        <v>2</v>
      </c>
      <c r="D15" s="2">
        <v>2</v>
      </c>
      <c r="E15" s="28">
        <v>6</v>
      </c>
      <c r="F15" s="28">
        <v>3</v>
      </c>
      <c r="G15" s="2" t="s">
        <v>77</v>
      </c>
      <c r="H15" s="28">
        <v>2</v>
      </c>
      <c r="I15" s="34">
        <v>0</v>
      </c>
      <c r="J15" s="39">
        <v>5.6173469387999999</v>
      </c>
      <c r="K15" s="39">
        <v>0.57001465015460684</v>
      </c>
      <c r="L15" s="39">
        <v>5.2142857142999999</v>
      </c>
      <c r="M15" s="39">
        <v>5.2142857142999999</v>
      </c>
      <c r="N15" s="39">
        <v>6.0204081632999999</v>
      </c>
      <c r="O15" s="39">
        <v>6.0204081632999999</v>
      </c>
      <c r="P15" s="39">
        <v>88.5</v>
      </c>
      <c r="Q15" s="39">
        <v>2.545584412271567</v>
      </c>
      <c r="R15" s="39">
        <v>90.3</v>
      </c>
      <c r="S15" s="39">
        <v>90.3</v>
      </c>
      <c r="T15" s="39">
        <v>86.7</v>
      </c>
      <c r="U15" s="39">
        <v>86.7</v>
      </c>
      <c r="V15" s="39">
        <v>5.6173469387999999</v>
      </c>
      <c r="W15" s="39">
        <v>0.57001465015460684</v>
      </c>
      <c r="X15" s="39">
        <v>5.2142857142999999</v>
      </c>
      <c r="Y15" s="39">
        <v>5.6173469387999999</v>
      </c>
      <c r="Z15" s="39">
        <v>5.8188775510499999</v>
      </c>
      <c r="AA15" s="39">
        <v>6.0204081632999999</v>
      </c>
      <c r="AB15" s="39">
        <v>88.5</v>
      </c>
      <c r="AC15" s="39">
        <v>2.545584412271567</v>
      </c>
      <c r="AD15" s="39">
        <v>90.3</v>
      </c>
      <c r="AE15" s="39">
        <v>88.5</v>
      </c>
      <c r="AF15" s="39">
        <v>87.6</v>
      </c>
      <c r="AG15" s="39">
        <v>86.7</v>
      </c>
    </row>
    <row r="16" spans="1:33">
      <c r="A16" s="91"/>
      <c r="B16" s="17" t="s">
        <v>28</v>
      </c>
      <c r="C16" s="2">
        <v>2</v>
      </c>
      <c r="D16" s="2">
        <v>2</v>
      </c>
      <c r="E16" s="28">
        <v>6</v>
      </c>
      <c r="F16" s="28">
        <v>3</v>
      </c>
      <c r="G16" s="2" t="s">
        <v>77</v>
      </c>
      <c r="H16" s="28">
        <v>2</v>
      </c>
      <c r="I16" s="34">
        <v>1</v>
      </c>
      <c r="J16" s="39">
        <v>5.5608153638999998</v>
      </c>
      <c r="K16" s="39">
        <v>0.76785887994016844</v>
      </c>
      <c r="L16" s="39">
        <v>5.0178571428999996</v>
      </c>
      <c r="M16" s="39">
        <v>5.0178571428999996</v>
      </c>
      <c r="N16" s="39">
        <v>6.1037735848999999</v>
      </c>
      <c r="O16" s="39">
        <v>6.1037735848999999</v>
      </c>
      <c r="P16" s="39">
        <v>97.275000000000006</v>
      </c>
      <c r="Q16" s="39">
        <v>10.924799769332161</v>
      </c>
      <c r="R16" s="39">
        <v>105</v>
      </c>
      <c r="S16" s="39">
        <v>105</v>
      </c>
      <c r="T16" s="39">
        <v>89.55</v>
      </c>
      <c r="U16" s="39">
        <v>89.55</v>
      </c>
      <c r="V16" s="39">
        <v>5.0161725067500003</v>
      </c>
      <c r="W16" s="39">
        <v>1.53810019517133</v>
      </c>
      <c r="X16" s="39">
        <v>3.9285714286000002</v>
      </c>
      <c r="Y16" s="39">
        <v>5.0161725067500003</v>
      </c>
      <c r="Z16" s="39">
        <v>5.5599730458250001</v>
      </c>
      <c r="AA16" s="39">
        <v>6.1037735848999999</v>
      </c>
      <c r="AB16" s="39">
        <v>85.5</v>
      </c>
      <c r="AC16" s="39">
        <v>5.7275649276110316</v>
      </c>
      <c r="AD16" s="39">
        <v>89.55</v>
      </c>
      <c r="AE16" s="39">
        <v>85.5</v>
      </c>
      <c r="AF16" s="39">
        <v>83.474999999999994</v>
      </c>
      <c r="AG16" s="39">
        <v>81.45</v>
      </c>
    </row>
    <row r="17" spans="1:33">
      <c r="A17" s="91"/>
      <c r="B17" s="17" t="s">
        <v>29</v>
      </c>
      <c r="C17" s="2">
        <v>2</v>
      </c>
      <c r="D17" s="2">
        <v>2</v>
      </c>
      <c r="E17" s="28">
        <v>4</v>
      </c>
      <c r="F17" s="28">
        <v>2</v>
      </c>
      <c r="G17" s="2" t="s">
        <v>77</v>
      </c>
      <c r="H17" s="28">
        <v>1</v>
      </c>
      <c r="I17" s="34">
        <v>0</v>
      </c>
      <c r="J17" s="39">
        <v>6.18481182795</v>
      </c>
      <c r="K17" s="39">
        <v>0.32028895871987278</v>
      </c>
      <c r="L17" s="39">
        <v>5.9583333332999997</v>
      </c>
      <c r="M17" s="39">
        <v>5.9583333332999997</v>
      </c>
      <c r="N17" s="39">
        <v>6.4112903226000002</v>
      </c>
      <c r="O17" s="39">
        <v>6.4112903226000002</v>
      </c>
      <c r="P17" s="39">
        <v>87.9</v>
      </c>
      <c r="Q17" s="39">
        <v>0.84852813742385902</v>
      </c>
      <c r="R17" s="39">
        <v>88.5</v>
      </c>
      <c r="S17" s="39">
        <v>88.5</v>
      </c>
      <c r="T17" s="39">
        <v>87.3</v>
      </c>
      <c r="U17" s="39">
        <v>87.3</v>
      </c>
      <c r="V17" s="39">
        <v>6.4112903226000002</v>
      </c>
      <c r="W17" s="39"/>
      <c r="X17" s="39">
        <v>6.4112903226000002</v>
      </c>
      <c r="Y17" s="39">
        <v>6.4112903226000002</v>
      </c>
      <c r="Z17" s="39">
        <v>6.4112903226000002</v>
      </c>
      <c r="AA17" s="39">
        <v>6.4112903226000002</v>
      </c>
      <c r="AB17" s="39">
        <v>87.3</v>
      </c>
      <c r="AC17" s="39"/>
      <c r="AD17" s="39">
        <v>87.3</v>
      </c>
      <c r="AE17" s="39">
        <v>87.3</v>
      </c>
      <c r="AF17" s="39">
        <v>87.3</v>
      </c>
      <c r="AG17" s="39">
        <v>87.3</v>
      </c>
    </row>
    <row r="18" spans="1:33">
      <c r="A18" s="91"/>
      <c r="B18" s="17" t="s">
        <v>110</v>
      </c>
      <c r="C18" s="2">
        <v>2</v>
      </c>
      <c r="D18" s="2">
        <v>2</v>
      </c>
      <c r="E18" s="28">
        <v>7</v>
      </c>
      <c r="F18" s="28">
        <v>3.5</v>
      </c>
      <c r="G18" s="2" t="s">
        <v>77</v>
      </c>
      <c r="H18" s="28">
        <v>2</v>
      </c>
      <c r="I18" s="34">
        <v>5</v>
      </c>
      <c r="J18" s="39">
        <v>5.0938697317999999</v>
      </c>
      <c r="K18" s="39">
        <v>0.53507122328131651</v>
      </c>
      <c r="L18" s="39">
        <v>4.7155172413999997</v>
      </c>
      <c r="M18" s="39">
        <v>4.7155172413999997</v>
      </c>
      <c r="N18" s="39">
        <v>5.4722222222000001</v>
      </c>
      <c r="O18" s="39">
        <v>5.4722222222000001</v>
      </c>
      <c r="P18" s="39">
        <v>100.35</v>
      </c>
      <c r="Q18" s="39">
        <v>2.3334523779156049</v>
      </c>
      <c r="R18" s="39">
        <v>102</v>
      </c>
      <c r="S18" s="39">
        <v>102</v>
      </c>
      <c r="T18" s="39">
        <v>98.7</v>
      </c>
      <c r="U18" s="39">
        <v>98.7</v>
      </c>
      <c r="V18" s="39">
        <v>5.0938697317999999</v>
      </c>
      <c r="W18" s="39">
        <v>0.53507122328131651</v>
      </c>
      <c r="X18" s="39">
        <v>4.7155172413999997</v>
      </c>
      <c r="Y18" s="39">
        <v>5.0938697317999999</v>
      </c>
      <c r="Z18" s="39">
        <v>5.2830459769999996</v>
      </c>
      <c r="AA18" s="39">
        <v>5.4722222222000001</v>
      </c>
      <c r="AB18" s="39">
        <v>100.35</v>
      </c>
      <c r="AC18" s="39">
        <v>2.3334523779156049</v>
      </c>
      <c r="AD18" s="39">
        <v>102</v>
      </c>
      <c r="AE18" s="39">
        <v>100.35</v>
      </c>
      <c r="AF18" s="39">
        <v>99.525000000000006</v>
      </c>
      <c r="AG18" s="39">
        <v>98.7</v>
      </c>
    </row>
    <row r="19" spans="1:33">
      <c r="A19" s="92"/>
      <c r="B19" s="17" t="s">
        <v>30</v>
      </c>
      <c r="C19" s="2">
        <v>2</v>
      </c>
      <c r="D19" s="2">
        <v>2</v>
      </c>
      <c r="E19" s="28">
        <v>5</v>
      </c>
      <c r="F19" s="28">
        <v>2.5</v>
      </c>
      <c r="G19" s="2" t="s">
        <v>77</v>
      </c>
      <c r="H19" s="28">
        <v>2</v>
      </c>
      <c r="I19" s="34">
        <v>0</v>
      </c>
      <c r="J19" s="39">
        <v>5.0699517296999996</v>
      </c>
      <c r="K19" s="39">
        <v>0.1889220933164221</v>
      </c>
      <c r="L19" s="39">
        <v>4.9363636364000003</v>
      </c>
      <c r="M19" s="39">
        <v>4.9363636364000003</v>
      </c>
      <c r="N19" s="39">
        <v>5.2035398229999998</v>
      </c>
      <c r="O19" s="39">
        <v>5.2035398229999998</v>
      </c>
      <c r="P19" s="39">
        <v>92.325000000000003</v>
      </c>
      <c r="Q19" s="39">
        <v>1.5909902576697319</v>
      </c>
      <c r="R19" s="39">
        <v>93.45</v>
      </c>
      <c r="S19" s="39">
        <v>93.45</v>
      </c>
      <c r="T19" s="39">
        <v>91.2</v>
      </c>
      <c r="U19" s="39">
        <v>91.2</v>
      </c>
      <c r="V19" s="39">
        <v>5.0699517296999996</v>
      </c>
      <c r="W19" s="39">
        <v>0.1889220933164221</v>
      </c>
      <c r="X19" s="39">
        <v>4.9363636364000003</v>
      </c>
      <c r="Y19" s="39">
        <v>5.0699517296999996</v>
      </c>
      <c r="Z19" s="39">
        <v>5.1367457763499997</v>
      </c>
      <c r="AA19" s="39">
        <v>5.2035398229999998</v>
      </c>
      <c r="AB19" s="39">
        <v>92.325000000000003</v>
      </c>
      <c r="AC19" s="39">
        <v>1.5909902576697319</v>
      </c>
      <c r="AD19" s="39">
        <v>93.45</v>
      </c>
      <c r="AE19" s="39">
        <v>92.325000000000003</v>
      </c>
      <c r="AF19" s="39">
        <v>91.762500000000003</v>
      </c>
      <c r="AG19" s="39">
        <v>91.2</v>
      </c>
    </row>
    <row r="20" spans="1:33" ht="33">
      <c r="A20" s="90" t="s">
        <v>31</v>
      </c>
      <c r="B20" s="22" t="s">
        <v>124</v>
      </c>
      <c r="C20" s="2">
        <v>2</v>
      </c>
      <c r="D20" s="2">
        <v>2</v>
      </c>
      <c r="E20" s="28">
        <v>3</v>
      </c>
      <c r="F20" s="28">
        <v>1.5</v>
      </c>
      <c r="G20" s="2" t="s">
        <v>77</v>
      </c>
      <c r="H20" s="28">
        <v>1</v>
      </c>
      <c r="I20" s="34">
        <v>1</v>
      </c>
      <c r="J20" s="39">
        <v>5.3492063492000002</v>
      </c>
      <c r="K20" s="39">
        <v>0.17958267460950761</v>
      </c>
      <c r="L20" s="39">
        <v>5.2222222222000001</v>
      </c>
      <c r="M20" s="39">
        <v>5.2222222222000001</v>
      </c>
      <c r="N20" s="39">
        <v>5.4761904762000002</v>
      </c>
      <c r="O20" s="39">
        <v>5.4761904762000002</v>
      </c>
      <c r="P20" s="39">
        <v>92.025000000000006</v>
      </c>
      <c r="Q20" s="39">
        <v>11.98545994111198</v>
      </c>
      <c r="R20" s="39">
        <v>100.5</v>
      </c>
      <c r="S20" s="39">
        <v>100.5</v>
      </c>
      <c r="T20" s="39">
        <v>83.55</v>
      </c>
      <c r="U20" s="39">
        <v>83.55</v>
      </c>
      <c r="V20" s="39">
        <v>6.5825242717999997</v>
      </c>
      <c r="W20" s="39"/>
      <c r="X20" s="39">
        <v>6.5825242717999997</v>
      </c>
      <c r="Y20" s="39">
        <v>6.5825242717999997</v>
      </c>
      <c r="Z20" s="39">
        <v>6.5825242717999997</v>
      </c>
      <c r="AA20" s="39">
        <v>6.5825242717999997</v>
      </c>
      <c r="AB20" s="39">
        <v>79.8</v>
      </c>
      <c r="AC20" s="39"/>
      <c r="AD20" s="39">
        <v>79.8</v>
      </c>
      <c r="AE20" s="39">
        <v>79.8</v>
      </c>
      <c r="AF20" s="39">
        <v>79.8</v>
      </c>
      <c r="AG20" s="39">
        <v>79.8</v>
      </c>
    </row>
    <row r="21" spans="1:33">
      <c r="A21" s="91"/>
      <c r="B21" s="17" t="s">
        <v>32</v>
      </c>
      <c r="C21" s="2">
        <v>2</v>
      </c>
      <c r="D21" s="2">
        <v>2</v>
      </c>
      <c r="E21" s="28">
        <v>3</v>
      </c>
      <c r="F21" s="28">
        <v>1.5</v>
      </c>
      <c r="G21" s="2" t="s">
        <v>77</v>
      </c>
      <c r="H21" s="28">
        <v>1</v>
      </c>
      <c r="I21" s="34">
        <v>1</v>
      </c>
      <c r="J21" s="39">
        <v>5.0227533062500003</v>
      </c>
      <c r="K21" s="39">
        <v>0.38208654454796231</v>
      </c>
      <c r="L21" s="39">
        <v>4.7525773196000003</v>
      </c>
      <c r="M21" s="39">
        <v>4.7525773196000003</v>
      </c>
      <c r="N21" s="39">
        <v>5.2929292929000002</v>
      </c>
      <c r="O21" s="39">
        <v>5.2929292929000002</v>
      </c>
      <c r="P21" s="39">
        <v>86.625</v>
      </c>
      <c r="Q21" s="39">
        <v>9.0156114601284809</v>
      </c>
      <c r="R21" s="39">
        <v>93</v>
      </c>
      <c r="S21" s="39">
        <v>93</v>
      </c>
      <c r="T21" s="39">
        <v>80.25</v>
      </c>
      <c r="U21" s="39">
        <v>80.25</v>
      </c>
      <c r="V21" s="39">
        <v>5.2929292929000002</v>
      </c>
      <c r="W21" s="39"/>
      <c r="X21" s="39">
        <v>5.2929292929000002</v>
      </c>
      <c r="Y21" s="39">
        <v>5.2929292929000002</v>
      </c>
      <c r="Z21" s="39">
        <v>5.2929292929000002</v>
      </c>
      <c r="AA21" s="39">
        <v>5.2929292929000002</v>
      </c>
      <c r="AB21" s="39">
        <v>80.25</v>
      </c>
      <c r="AC21" s="39"/>
      <c r="AD21" s="39">
        <v>80.25</v>
      </c>
      <c r="AE21" s="39">
        <v>80.25</v>
      </c>
      <c r="AF21" s="39">
        <v>80.25</v>
      </c>
      <c r="AG21" s="39">
        <v>80.25</v>
      </c>
    </row>
    <row r="22" spans="1:33">
      <c r="A22" s="91"/>
      <c r="B22" s="17" t="s">
        <v>33</v>
      </c>
      <c r="C22" s="2">
        <v>2</v>
      </c>
      <c r="D22" s="2">
        <v>2</v>
      </c>
      <c r="E22" s="28">
        <v>12</v>
      </c>
      <c r="F22" s="28">
        <v>6</v>
      </c>
      <c r="G22" s="2" t="s">
        <v>77</v>
      </c>
      <c r="H22" s="28">
        <v>2</v>
      </c>
      <c r="I22" s="34">
        <v>0</v>
      </c>
      <c r="J22" s="39">
        <v>5.8982448244499999</v>
      </c>
      <c r="K22" s="39">
        <v>0.38817680094852142</v>
      </c>
      <c r="L22" s="39">
        <v>5.6237623762000002</v>
      </c>
      <c r="M22" s="39">
        <v>5.6237623762000002</v>
      </c>
      <c r="N22" s="39">
        <v>6.1727272727000004</v>
      </c>
      <c r="O22" s="39">
        <v>6.1727272727000004</v>
      </c>
      <c r="P22" s="39">
        <v>98.775000000000006</v>
      </c>
      <c r="Q22" s="39">
        <v>6.2578950135009519</v>
      </c>
      <c r="R22" s="39">
        <v>103.2</v>
      </c>
      <c r="S22" s="39">
        <v>103.2</v>
      </c>
      <c r="T22" s="39">
        <v>94.35</v>
      </c>
      <c r="U22" s="39">
        <v>94.35</v>
      </c>
      <c r="V22" s="39">
        <v>5.8982448244499999</v>
      </c>
      <c r="W22" s="39">
        <v>0.38817680094852142</v>
      </c>
      <c r="X22" s="39">
        <v>5.6237623762000002</v>
      </c>
      <c r="Y22" s="39">
        <v>5.8982448244499999</v>
      </c>
      <c r="Z22" s="39">
        <v>6.0354860485750006</v>
      </c>
      <c r="AA22" s="39">
        <v>6.1727272727000004</v>
      </c>
      <c r="AB22" s="39">
        <v>98.775000000000006</v>
      </c>
      <c r="AC22" s="39">
        <v>6.2578950135009519</v>
      </c>
      <c r="AD22" s="39">
        <v>103.2</v>
      </c>
      <c r="AE22" s="39">
        <v>98.775000000000006</v>
      </c>
      <c r="AF22" s="39">
        <v>96.5625</v>
      </c>
      <c r="AG22" s="39">
        <v>94.35</v>
      </c>
    </row>
    <row r="23" spans="1:33">
      <c r="A23" s="91"/>
      <c r="B23" s="17" t="s">
        <v>34</v>
      </c>
      <c r="C23" s="2">
        <v>2</v>
      </c>
      <c r="D23" s="2">
        <v>2</v>
      </c>
      <c r="E23" s="28">
        <v>2</v>
      </c>
      <c r="F23" s="28">
        <v>1</v>
      </c>
      <c r="G23" s="2" t="s">
        <v>77</v>
      </c>
      <c r="H23" s="28">
        <v>1</v>
      </c>
      <c r="I23" s="34">
        <v>0</v>
      </c>
      <c r="J23" s="39">
        <v>6.0118023700500007</v>
      </c>
      <c r="K23" s="39">
        <v>0.26320536247395948</v>
      </c>
      <c r="L23" s="39">
        <v>5.8256880734000003</v>
      </c>
      <c r="M23" s="39">
        <v>5.8256880734000003</v>
      </c>
      <c r="N23" s="39">
        <v>6.1979166667000003</v>
      </c>
      <c r="O23" s="39">
        <v>6.1979166667000003</v>
      </c>
      <c r="P23" s="39">
        <v>84</v>
      </c>
      <c r="Q23" s="39">
        <v>7.8488852711706736</v>
      </c>
      <c r="R23" s="39">
        <v>89.55</v>
      </c>
      <c r="S23" s="39">
        <v>89.55</v>
      </c>
      <c r="T23" s="39">
        <v>78.45</v>
      </c>
      <c r="U23" s="39">
        <v>78.45</v>
      </c>
      <c r="V23" s="39">
        <v>6.1979166667000003</v>
      </c>
      <c r="W23" s="39"/>
      <c r="X23" s="39">
        <v>6.1979166667000003</v>
      </c>
      <c r="Y23" s="39">
        <v>6.1979166667000003</v>
      </c>
      <c r="Z23" s="39">
        <v>6.1979166667000003</v>
      </c>
      <c r="AA23" s="39">
        <v>6.1979166667000003</v>
      </c>
      <c r="AB23" s="39">
        <v>89.55</v>
      </c>
      <c r="AC23" s="39"/>
      <c r="AD23" s="39">
        <v>89.55</v>
      </c>
      <c r="AE23" s="39">
        <v>89.55</v>
      </c>
      <c r="AF23" s="39">
        <v>89.55</v>
      </c>
      <c r="AG23" s="39">
        <v>89.55</v>
      </c>
    </row>
    <row r="24" spans="1:33">
      <c r="A24" s="91"/>
      <c r="B24" s="17" t="s">
        <v>35</v>
      </c>
      <c r="C24" s="2">
        <v>2</v>
      </c>
      <c r="D24" s="2">
        <v>2</v>
      </c>
      <c r="E24" s="28">
        <v>2</v>
      </c>
      <c r="F24" s="28">
        <v>1</v>
      </c>
      <c r="G24" s="2" t="s">
        <v>77</v>
      </c>
      <c r="H24" s="28">
        <v>1</v>
      </c>
      <c r="I24" s="34">
        <v>0</v>
      </c>
      <c r="J24" s="39">
        <v>6.0718721872000003</v>
      </c>
      <c r="K24" s="39">
        <v>0.75974200247171997</v>
      </c>
      <c r="L24" s="39">
        <v>5.5346534652999999</v>
      </c>
      <c r="M24" s="39">
        <v>5.5346534652999999</v>
      </c>
      <c r="N24" s="39">
        <v>6.6090909090999999</v>
      </c>
      <c r="O24" s="39">
        <v>6.6090909090999999</v>
      </c>
      <c r="P24" s="39">
        <v>85.724999999999994</v>
      </c>
      <c r="Q24" s="39">
        <v>6.0457629791449792</v>
      </c>
      <c r="R24" s="39">
        <v>90</v>
      </c>
      <c r="S24" s="39">
        <v>90</v>
      </c>
      <c r="T24" s="39">
        <v>81.45</v>
      </c>
      <c r="U24" s="39">
        <v>81.45</v>
      </c>
      <c r="V24" s="39">
        <v>6.6090909090999999</v>
      </c>
      <c r="W24" s="39"/>
      <c r="X24" s="39">
        <v>6.6090909090999999</v>
      </c>
      <c r="Y24" s="39">
        <v>6.6090909090999999</v>
      </c>
      <c r="Z24" s="39">
        <v>6.6090909090999999</v>
      </c>
      <c r="AA24" s="39">
        <v>6.6090909090999999</v>
      </c>
      <c r="AB24" s="39">
        <v>81.45</v>
      </c>
      <c r="AC24" s="39"/>
      <c r="AD24" s="39">
        <v>81.45</v>
      </c>
      <c r="AE24" s="39">
        <v>81.45</v>
      </c>
      <c r="AF24" s="39">
        <v>81.45</v>
      </c>
      <c r="AG24" s="39">
        <v>81.45</v>
      </c>
    </row>
    <row r="25" spans="1:33">
      <c r="A25" s="92"/>
      <c r="B25" s="17" t="s">
        <v>36</v>
      </c>
      <c r="C25" s="2">
        <v>2</v>
      </c>
      <c r="D25" s="2">
        <v>2</v>
      </c>
      <c r="E25" s="28">
        <v>6</v>
      </c>
      <c r="F25" s="28">
        <v>3</v>
      </c>
      <c r="G25" s="2" t="s">
        <v>77</v>
      </c>
      <c r="H25" s="28">
        <v>2</v>
      </c>
      <c r="I25" s="34">
        <v>3</v>
      </c>
      <c r="J25" s="39">
        <v>5.9206797706999996</v>
      </c>
      <c r="K25" s="39">
        <v>0.66500468205232088</v>
      </c>
      <c r="L25" s="39">
        <v>5.4504504505</v>
      </c>
      <c r="M25" s="39">
        <v>5.4504504505</v>
      </c>
      <c r="N25" s="39">
        <v>6.3909090909000001</v>
      </c>
      <c r="O25" s="39">
        <v>6.3909090909000001</v>
      </c>
      <c r="P25" s="39">
        <v>80.925000000000011</v>
      </c>
      <c r="Q25" s="39">
        <v>0.31819805153394842</v>
      </c>
      <c r="R25" s="39">
        <v>81.150000000000006</v>
      </c>
      <c r="S25" s="39">
        <v>81.150000000000006</v>
      </c>
      <c r="T25" s="39">
        <v>80.7</v>
      </c>
      <c r="U25" s="39">
        <v>80.7</v>
      </c>
      <c r="V25" s="39">
        <v>6.26045454545</v>
      </c>
      <c r="W25" s="39">
        <v>0.1844905874486075</v>
      </c>
      <c r="X25" s="39">
        <v>6.13</v>
      </c>
      <c r="Y25" s="39">
        <v>6.26045454545</v>
      </c>
      <c r="Z25" s="39">
        <v>6.3256818181750001</v>
      </c>
      <c r="AA25" s="39">
        <v>6.3909090909000001</v>
      </c>
      <c r="AB25" s="39">
        <v>77.849999999999994</v>
      </c>
      <c r="AC25" s="39">
        <v>4.6669047558312204</v>
      </c>
      <c r="AD25" s="39">
        <v>81.150000000000006</v>
      </c>
      <c r="AE25" s="39">
        <v>77.849999999999994</v>
      </c>
      <c r="AF25" s="39">
        <v>76.2</v>
      </c>
      <c r="AG25" s="39">
        <v>74.55</v>
      </c>
    </row>
    <row r="26" spans="1:33">
      <c r="A26" s="90" t="s">
        <v>37</v>
      </c>
      <c r="B26" s="17" t="s">
        <v>38</v>
      </c>
      <c r="C26" s="2">
        <v>2</v>
      </c>
      <c r="D26" s="2">
        <v>2</v>
      </c>
      <c r="E26" s="28">
        <v>5</v>
      </c>
      <c r="F26" s="28">
        <v>2.5</v>
      </c>
      <c r="G26" s="2" t="s">
        <v>77</v>
      </c>
      <c r="H26" s="28">
        <v>2</v>
      </c>
      <c r="I26" s="34">
        <v>2</v>
      </c>
      <c r="J26" s="39">
        <v>5.3854022191500004</v>
      </c>
      <c r="K26" s="39">
        <v>0.29250290911215931</v>
      </c>
      <c r="L26" s="39">
        <v>5.1785714285999997</v>
      </c>
      <c r="M26" s="39">
        <v>5.1785714285999997</v>
      </c>
      <c r="N26" s="39">
        <v>5.5922330097000001</v>
      </c>
      <c r="O26" s="39">
        <v>5.5922330097000001</v>
      </c>
      <c r="P26" s="39">
        <v>96.75</v>
      </c>
      <c r="Q26" s="39">
        <v>4.8790367901871816</v>
      </c>
      <c r="R26" s="39">
        <v>100.2</v>
      </c>
      <c r="S26" s="39">
        <v>100.2</v>
      </c>
      <c r="T26" s="39">
        <v>93.3</v>
      </c>
      <c r="U26" s="39">
        <v>93.3</v>
      </c>
      <c r="V26" s="39">
        <v>6.1831512945</v>
      </c>
      <c r="W26" s="39">
        <v>1.525914694226846</v>
      </c>
      <c r="X26" s="39">
        <v>5.1041666667000003</v>
      </c>
      <c r="Y26" s="39">
        <v>6.1831512945</v>
      </c>
      <c r="Z26" s="39">
        <v>6.7226436084000003</v>
      </c>
      <c r="AA26" s="39">
        <v>7.2621359222999997</v>
      </c>
      <c r="AB26" s="39">
        <v>76.349999999999994</v>
      </c>
      <c r="AC26" s="39">
        <v>0.21213203435596231</v>
      </c>
      <c r="AD26" s="39">
        <v>76.5</v>
      </c>
      <c r="AE26" s="39">
        <v>76.349999999999994</v>
      </c>
      <c r="AF26" s="39">
        <v>76.275000000000006</v>
      </c>
      <c r="AG26" s="39">
        <v>76.2</v>
      </c>
    </row>
    <row r="27" spans="1:33">
      <c r="A27" s="91"/>
      <c r="B27" s="17" t="s">
        <v>39</v>
      </c>
      <c r="C27" s="2">
        <v>2</v>
      </c>
      <c r="D27" s="2">
        <v>2</v>
      </c>
      <c r="E27" s="28">
        <v>3</v>
      </c>
      <c r="F27" s="28">
        <v>1.5</v>
      </c>
      <c r="G27" s="2" t="s">
        <v>77</v>
      </c>
      <c r="H27" s="28">
        <v>1</v>
      </c>
      <c r="I27" s="34">
        <v>1</v>
      </c>
      <c r="J27" s="39">
        <v>6.4359197907499999</v>
      </c>
      <c r="K27" s="39">
        <v>0.55565729038927647</v>
      </c>
      <c r="L27" s="39">
        <v>6.0430107526999999</v>
      </c>
      <c r="M27" s="39">
        <v>6.0430107526999999</v>
      </c>
      <c r="N27" s="39">
        <v>6.8288288287999999</v>
      </c>
      <c r="O27" s="39">
        <v>6.8288288287999999</v>
      </c>
      <c r="P27" s="39">
        <v>83.1</v>
      </c>
      <c r="Q27" s="39">
        <v>8.9095454429505043</v>
      </c>
      <c r="R27" s="39">
        <v>89.4</v>
      </c>
      <c r="S27" s="39">
        <v>89.4</v>
      </c>
      <c r="T27" s="39">
        <v>76.8</v>
      </c>
      <c r="U27" s="39">
        <v>76.8</v>
      </c>
      <c r="V27" s="39">
        <v>7.1009174312000001</v>
      </c>
      <c r="W27" s="39"/>
      <c r="X27" s="39">
        <v>7.1009174312000001</v>
      </c>
      <c r="Y27" s="39">
        <v>7.1009174312000001</v>
      </c>
      <c r="Z27" s="39">
        <v>7.1009174312000001</v>
      </c>
      <c r="AA27" s="39">
        <v>7.1009174312000001</v>
      </c>
      <c r="AB27" s="39">
        <v>76.2</v>
      </c>
      <c r="AC27" s="39"/>
      <c r="AD27" s="39">
        <v>76.2</v>
      </c>
      <c r="AE27" s="39">
        <v>76.2</v>
      </c>
      <c r="AF27" s="39">
        <v>76.2</v>
      </c>
      <c r="AG27" s="39">
        <v>76.2</v>
      </c>
    </row>
    <row r="28" spans="1:33">
      <c r="A28" s="91"/>
      <c r="B28" s="17" t="s">
        <v>40</v>
      </c>
      <c r="C28" s="2">
        <v>2</v>
      </c>
      <c r="D28" s="2">
        <v>2</v>
      </c>
      <c r="E28" s="28">
        <v>7</v>
      </c>
      <c r="F28" s="28">
        <v>3.5</v>
      </c>
      <c r="G28" s="2" t="s">
        <v>77</v>
      </c>
      <c r="H28" s="28">
        <v>2</v>
      </c>
      <c r="I28" s="34">
        <v>0</v>
      </c>
      <c r="J28" s="39">
        <v>5.3963397332499996</v>
      </c>
      <c r="K28" s="39">
        <v>0.86667897261803084</v>
      </c>
      <c r="L28" s="39">
        <v>4.7835051546000003</v>
      </c>
      <c r="M28" s="39">
        <v>4.7835051546000003</v>
      </c>
      <c r="N28" s="39">
        <v>6.0091743118999998</v>
      </c>
      <c r="O28" s="39">
        <v>6.0091743118999998</v>
      </c>
      <c r="P28" s="39">
        <v>89.699999999999989</v>
      </c>
      <c r="Q28" s="39">
        <v>6.5760930650348914</v>
      </c>
      <c r="R28" s="39">
        <v>94.35</v>
      </c>
      <c r="S28" s="39">
        <v>94.35</v>
      </c>
      <c r="T28" s="39">
        <v>85.05</v>
      </c>
      <c r="U28" s="39">
        <v>85.05</v>
      </c>
      <c r="V28" s="39">
        <v>5.3963397332499996</v>
      </c>
      <c r="W28" s="39">
        <v>0.86667897261803084</v>
      </c>
      <c r="X28" s="39">
        <v>4.7835051546000003</v>
      </c>
      <c r="Y28" s="39">
        <v>5.3963397332499996</v>
      </c>
      <c r="Z28" s="39">
        <v>5.7027570225749997</v>
      </c>
      <c r="AA28" s="39">
        <v>6.0091743118999998</v>
      </c>
      <c r="AB28" s="39">
        <v>89.699999999999989</v>
      </c>
      <c r="AC28" s="39">
        <v>6.5760930650348914</v>
      </c>
      <c r="AD28" s="39">
        <v>94.35</v>
      </c>
      <c r="AE28" s="39">
        <v>89.699999999999989</v>
      </c>
      <c r="AF28" s="39">
        <v>87.375</v>
      </c>
      <c r="AG28" s="39">
        <v>85.05</v>
      </c>
    </row>
    <row r="29" spans="1:33">
      <c r="A29" s="91"/>
      <c r="B29" s="17" t="s">
        <v>41</v>
      </c>
      <c r="C29" s="2">
        <v>2</v>
      </c>
      <c r="D29" s="2">
        <v>2</v>
      </c>
      <c r="E29" s="28">
        <v>4</v>
      </c>
      <c r="F29" s="28">
        <v>2</v>
      </c>
      <c r="G29" s="2" t="s">
        <v>77</v>
      </c>
      <c r="H29" s="28">
        <v>2</v>
      </c>
      <c r="I29" s="34">
        <v>1</v>
      </c>
      <c r="J29" s="39">
        <v>5.5548878204999994</v>
      </c>
      <c r="K29" s="39">
        <v>1.7638008091326269</v>
      </c>
      <c r="L29" s="39">
        <v>4.3076923077</v>
      </c>
      <c r="M29" s="39">
        <v>4.3076923077</v>
      </c>
      <c r="N29" s="39">
        <v>6.8020833332999997</v>
      </c>
      <c r="O29" s="39">
        <v>6.8020833332999997</v>
      </c>
      <c r="P29" s="39">
        <v>75.224999999999994</v>
      </c>
      <c r="Q29" s="39">
        <v>0.5303300858899106</v>
      </c>
      <c r="R29" s="39">
        <v>75.599999999999994</v>
      </c>
      <c r="S29" s="39">
        <v>75.599999999999994</v>
      </c>
      <c r="T29" s="39">
        <v>74.849999999999994</v>
      </c>
      <c r="U29" s="39">
        <v>74.849999999999994</v>
      </c>
      <c r="V29" s="39">
        <v>5.7538461538500014</v>
      </c>
      <c r="W29" s="39">
        <v>2.0451703825033452</v>
      </c>
      <c r="X29" s="39">
        <v>4.3076923077</v>
      </c>
      <c r="Y29" s="39">
        <v>5.7538461538500014</v>
      </c>
      <c r="Z29" s="39">
        <v>6.4769230769249999</v>
      </c>
      <c r="AA29" s="39">
        <v>7.2</v>
      </c>
      <c r="AB29" s="39">
        <v>70.05</v>
      </c>
      <c r="AC29" s="39">
        <v>7.8488852711706736</v>
      </c>
      <c r="AD29" s="39">
        <v>75.599999999999994</v>
      </c>
      <c r="AE29" s="39">
        <v>70.05</v>
      </c>
      <c r="AF29" s="39">
        <v>67.275000000000006</v>
      </c>
      <c r="AG29" s="39">
        <v>64.5</v>
      </c>
    </row>
    <row r="30" spans="1:33">
      <c r="A30" s="91"/>
      <c r="B30" s="17" t="s">
        <v>42</v>
      </c>
      <c r="C30" s="2">
        <v>2</v>
      </c>
      <c r="D30" s="2">
        <v>2</v>
      </c>
      <c r="E30" s="28">
        <v>4</v>
      </c>
      <c r="F30" s="28">
        <v>2</v>
      </c>
      <c r="G30" s="2" t="s">
        <v>77</v>
      </c>
      <c r="H30" s="28">
        <v>2</v>
      </c>
      <c r="I30" s="34">
        <v>0</v>
      </c>
      <c r="J30" s="39">
        <v>4.7866161615999996</v>
      </c>
      <c r="K30" s="39">
        <v>0.54461507136699838</v>
      </c>
      <c r="L30" s="39">
        <v>4.4015151514999999</v>
      </c>
      <c r="M30" s="39">
        <v>4.4015151514999999</v>
      </c>
      <c r="N30" s="39">
        <v>5.1717171717000001</v>
      </c>
      <c r="O30" s="39">
        <v>5.1717171717000001</v>
      </c>
      <c r="P30" s="39">
        <v>86.775000000000006</v>
      </c>
      <c r="Q30" s="39">
        <v>4.7729707730091961</v>
      </c>
      <c r="R30" s="39">
        <v>90.15</v>
      </c>
      <c r="S30" s="39">
        <v>90.15</v>
      </c>
      <c r="T30" s="39">
        <v>83.4</v>
      </c>
      <c r="U30" s="39">
        <v>83.4</v>
      </c>
      <c r="V30" s="39">
        <v>4.7866161615999996</v>
      </c>
      <c r="W30" s="39">
        <v>0.54461507136699838</v>
      </c>
      <c r="X30" s="39">
        <v>4.4015151514999999</v>
      </c>
      <c r="Y30" s="39">
        <v>4.7866161615999996</v>
      </c>
      <c r="Z30" s="39">
        <v>4.9791666666500003</v>
      </c>
      <c r="AA30" s="39">
        <v>5.1717171717000001</v>
      </c>
      <c r="AB30" s="39">
        <v>86.775000000000006</v>
      </c>
      <c r="AC30" s="39">
        <v>4.7729707730091961</v>
      </c>
      <c r="AD30" s="39">
        <v>90.15</v>
      </c>
      <c r="AE30" s="39">
        <v>86.775000000000006</v>
      </c>
      <c r="AF30" s="39">
        <v>85.087500000000006</v>
      </c>
      <c r="AG30" s="39">
        <v>83.4</v>
      </c>
    </row>
    <row r="31" spans="1:33">
      <c r="A31" s="92"/>
      <c r="B31" s="17" t="s">
        <v>43</v>
      </c>
      <c r="C31" s="2">
        <v>2</v>
      </c>
      <c r="D31" s="2">
        <v>2</v>
      </c>
      <c r="E31" s="28">
        <v>4</v>
      </c>
      <c r="F31" s="28">
        <v>2</v>
      </c>
      <c r="G31" s="2" t="s">
        <v>77</v>
      </c>
      <c r="H31" s="28">
        <v>2</v>
      </c>
      <c r="I31" s="34">
        <v>1</v>
      </c>
      <c r="J31" s="39">
        <v>5.6174132559999999</v>
      </c>
      <c r="K31" s="39">
        <v>0.36923902279918819</v>
      </c>
      <c r="L31" s="39">
        <v>5.3563218390999996</v>
      </c>
      <c r="M31" s="39">
        <v>5.3563218390999996</v>
      </c>
      <c r="N31" s="39">
        <v>5.8785046729000001</v>
      </c>
      <c r="O31" s="39">
        <v>5.8785046729000001</v>
      </c>
      <c r="P31" s="39">
        <v>75.900000000000006</v>
      </c>
      <c r="Q31" s="39">
        <v>2.3334523779156049</v>
      </c>
      <c r="R31" s="39">
        <v>77.55</v>
      </c>
      <c r="S31" s="39">
        <v>77.55</v>
      </c>
      <c r="T31" s="39">
        <v>74.25</v>
      </c>
      <c r="U31" s="39">
        <v>74.25</v>
      </c>
      <c r="V31" s="39">
        <v>5.69617893755</v>
      </c>
      <c r="W31" s="39">
        <v>0.4806305178967582</v>
      </c>
      <c r="X31" s="39">
        <v>5.3563218390999996</v>
      </c>
      <c r="Y31" s="39">
        <v>5.69617893755</v>
      </c>
      <c r="Z31" s="39">
        <v>5.8661074867749994</v>
      </c>
      <c r="AA31" s="39">
        <v>6.0360360359999996</v>
      </c>
      <c r="AB31" s="39">
        <v>73.875</v>
      </c>
      <c r="AC31" s="39">
        <v>0.5303300858899106</v>
      </c>
      <c r="AD31" s="39">
        <v>74.25</v>
      </c>
      <c r="AE31" s="39">
        <v>73.875</v>
      </c>
      <c r="AF31" s="39">
        <v>73.6875</v>
      </c>
      <c r="AG31" s="39">
        <v>73.5</v>
      </c>
    </row>
    <row r="32" spans="1:33" ht="38.25" customHeight="1">
      <c r="A32" s="90" t="s">
        <v>44</v>
      </c>
      <c r="B32" s="22" t="s">
        <v>125</v>
      </c>
      <c r="C32" s="2">
        <v>2</v>
      </c>
      <c r="D32" s="2">
        <v>2</v>
      </c>
      <c r="E32" s="28">
        <v>6</v>
      </c>
      <c r="F32" s="28">
        <v>3</v>
      </c>
      <c r="G32" s="2" t="s">
        <v>77</v>
      </c>
      <c r="H32" s="28">
        <v>2</v>
      </c>
      <c r="I32" s="34">
        <v>2</v>
      </c>
      <c r="J32" s="39">
        <v>3.4897306397499999</v>
      </c>
      <c r="K32" s="39">
        <v>2.290121255282918</v>
      </c>
      <c r="L32" s="39">
        <v>1.8703703704000001</v>
      </c>
      <c r="M32" s="39">
        <v>1.8703703704000001</v>
      </c>
      <c r="N32" s="39">
        <v>5.1090909090999999</v>
      </c>
      <c r="O32" s="39">
        <v>5.1090909090999999</v>
      </c>
      <c r="P32" s="39">
        <v>87.974999999999994</v>
      </c>
      <c r="Q32" s="39">
        <v>6.2578950135009519</v>
      </c>
      <c r="R32" s="39">
        <v>92.4</v>
      </c>
      <c r="S32" s="39">
        <v>92.4</v>
      </c>
      <c r="T32" s="39">
        <v>83.55</v>
      </c>
      <c r="U32" s="39">
        <v>83.55</v>
      </c>
      <c r="V32" s="39">
        <v>5.5787753532500002</v>
      </c>
      <c r="W32" s="39">
        <v>4.9619143506337629E-2</v>
      </c>
      <c r="X32" s="39">
        <v>5.5436893204000004</v>
      </c>
      <c r="Y32" s="39">
        <v>5.5787753532500002</v>
      </c>
      <c r="Z32" s="39">
        <v>5.5963183696750001</v>
      </c>
      <c r="AA32" s="39">
        <v>5.6138613861</v>
      </c>
      <c r="AB32" s="39">
        <v>78.674999999999997</v>
      </c>
      <c r="AC32" s="39">
        <v>4.3487067042972711</v>
      </c>
      <c r="AD32" s="39">
        <v>81.75</v>
      </c>
      <c r="AE32" s="39">
        <v>78.674999999999997</v>
      </c>
      <c r="AF32" s="39">
        <v>77.137499999999989</v>
      </c>
      <c r="AG32" s="39">
        <v>75.599999999999994</v>
      </c>
    </row>
    <row r="33" spans="1:33" ht="49.5" customHeight="1">
      <c r="A33" s="91"/>
      <c r="B33" s="22" t="s">
        <v>126</v>
      </c>
      <c r="C33" s="2">
        <v>2</v>
      </c>
      <c r="D33" s="2">
        <v>2</v>
      </c>
      <c r="E33" s="28">
        <v>3</v>
      </c>
      <c r="F33" s="28">
        <v>1.5</v>
      </c>
      <c r="G33" s="2" t="s">
        <v>77</v>
      </c>
      <c r="H33" s="28">
        <v>2</v>
      </c>
      <c r="I33" s="34">
        <v>0</v>
      </c>
      <c r="J33" s="39">
        <v>4.2425271739000001</v>
      </c>
      <c r="K33" s="39">
        <v>1.9109176464587221</v>
      </c>
      <c r="L33" s="39">
        <v>2.8913043477999998</v>
      </c>
      <c r="M33" s="39">
        <v>2.8913043477999998</v>
      </c>
      <c r="N33" s="39">
        <v>5.59375</v>
      </c>
      <c r="O33" s="39">
        <v>5.59375</v>
      </c>
      <c r="P33" s="39">
        <v>76.349999999999994</v>
      </c>
      <c r="Q33" s="39">
        <v>10.394469683442249</v>
      </c>
      <c r="R33" s="39">
        <v>83.7</v>
      </c>
      <c r="S33" s="39">
        <v>83.7</v>
      </c>
      <c r="T33" s="39">
        <v>69</v>
      </c>
      <c r="U33" s="39">
        <v>69</v>
      </c>
      <c r="V33" s="39">
        <v>4.2425271739000001</v>
      </c>
      <c r="W33" s="39">
        <v>1.9109176464587221</v>
      </c>
      <c r="X33" s="39">
        <v>2.8913043477999998</v>
      </c>
      <c r="Y33" s="39">
        <v>4.2425271739000001</v>
      </c>
      <c r="Z33" s="39">
        <v>4.9181385869499996</v>
      </c>
      <c r="AA33" s="39">
        <v>5.59375</v>
      </c>
      <c r="AB33" s="39">
        <v>76.349999999999994</v>
      </c>
      <c r="AC33" s="39">
        <v>10.394469683442249</v>
      </c>
      <c r="AD33" s="39">
        <v>83.7</v>
      </c>
      <c r="AE33" s="39">
        <v>76.349999999999994</v>
      </c>
      <c r="AF33" s="39">
        <v>72.674999999999997</v>
      </c>
      <c r="AG33" s="39">
        <v>69</v>
      </c>
    </row>
    <row r="34" spans="1:33" ht="38.25" customHeight="1">
      <c r="A34" s="92"/>
      <c r="B34" s="22" t="s">
        <v>127</v>
      </c>
      <c r="C34" s="2">
        <v>2</v>
      </c>
      <c r="D34" s="2">
        <v>2</v>
      </c>
      <c r="E34" s="28">
        <v>2</v>
      </c>
      <c r="F34" s="28">
        <v>1</v>
      </c>
      <c r="G34" s="2" t="s">
        <v>77</v>
      </c>
      <c r="H34" s="28">
        <v>1</v>
      </c>
      <c r="I34" s="34">
        <v>0</v>
      </c>
      <c r="J34" s="39">
        <v>5.9326923077</v>
      </c>
      <c r="K34" s="39"/>
      <c r="L34" s="39">
        <v>5.9326923077</v>
      </c>
      <c r="M34" s="39">
        <v>5.9326923077</v>
      </c>
      <c r="N34" s="39">
        <v>5.9326923077</v>
      </c>
      <c r="O34" s="39">
        <v>5.9326923077</v>
      </c>
      <c r="P34" s="39">
        <v>76.8</v>
      </c>
      <c r="Q34" s="39"/>
      <c r="R34" s="39">
        <v>76.8</v>
      </c>
      <c r="S34" s="39">
        <v>76.8</v>
      </c>
      <c r="T34" s="39">
        <v>76.8</v>
      </c>
      <c r="U34" s="39">
        <v>76.8</v>
      </c>
      <c r="V34" s="39">
        <v>5.9326923077</v>
      </c>
      <c r="W34" s="39"/>
      <c r="X34" s="39">
        <v>5.9326923077</v>
      </c>
      <c r="Y34" s="39">
        <v>5.9326923077</v>
      </c>
      <c r="Z34" s="39">
        <v>5.9326923077</v>
      </c>
      <c r="AA34" s="39">
        <v>5.9326923077</v>
      </c>
      <c r="AB34" s="39">
        <v>76.8</v>
      </c>
      <c r="AC34" s="39"/>
      <c r="AD34" s="39">
        <v>76.8</v>
      </c>
      <c r="AE34" s="39">
        <v>76.8</v>
      </c>
      <c r="AF34" s="39">
        <v>76.8</v>
      </c>
      <c r="AG34" s="39">
        <v>76.8</v>
      </c>
    </row>
    <row r="35" spans="1:33">
      <c r="A35" s="90" t="s">
        <v>45</v>
      </c>
      <c r="B35" s="17" t="s">
        <v>46</v>
      </c>
      <c r="C35" s="2">
        <v>2</v>
      </c>
      <c r="D35" s="2">
        <v>2</v>
      </c>
      <c r="E35" s="28">
        <v>11</v>
      </c>
      <c r="F35" s="28">
        <v>5.5</v>
      </c>
      <c r="G35" s="2" t="s">
        <v>77</v>
      </c>
      <c r="H35" s="28">
        <v>2</v>
      </c>
      <c r="I35" s="34">
        <v>0</v>
      </c>
      <c r="J35" s="39">
        <v>5.0902090208999997</v>
      </c>
      <c r="K35" s="39">
        <v>2.95600194427856E-2</v>
      </c>
      <c r="L35" s="39">
        <v>5.0693069306999998</v>
      </c>
      <c r="M35" s="39">
        <v>5.0693069306999998</v>
      </c>
      <c r="N35" s="39">
        <v>5.1111111110999996</v>
      </c>
      <c r="O35" s="39">
        <v>5.1111111110999996</v>
      </c>
      <c r="P35" s="39">
        <v>108.075</v>
      </c>
      <c r="Q35" s="39">
        <v>0.5303300858899106</v>
      </c>
      <c r="R35" s="39">
        <v>108.45</v>
      </c>
      <c r="S35" s="39">
        <v>108.45</v>
      </c>
      <c r="T35" s="39">
        <v>107.7</v>
      </c>
      <c r="U35" s="39">
        <v>107.7</v>
      </c>
      <c r="V35" s="39">
        <v>5.0902090208999997</v>
      </c>
      <c r="W35" s="39">
        <v>2.95600194427856E-2</v>
      </c>
      <c r="X35" s="39">
        <v>5.0693069306999998</v>
      </c>
      <c r="Y35" s="39">
        <v>5.0902090208999997</v>
      </c>
      <c r="Z35" s="39">
        <v>5.1006600659999997</v>
      </c>
      <c r="AA35" s="39">
        <v>5.1111111110999996</v>
      </c>
      <c r="AB35" s="39">
        <v>108.075</v>
      </c>
      <c r="AC35" s="39">
        <v>0.5303300858899106</v>
      </c>
      <c r="AD35" s="39">
        <v>108.45</v>
      </c>
      <c r="AE35" s="39">
        <v>108.075</v>
      </c>
      <c r="AF35" s="39">
        <v>107.8875</v>
      </c>
      <c r="AG35" s="39">
        <v>107.7</v>
      </c>
    </row>
    <row r="36" spans="1:33">
      <c r="A36" s="91"/>
      <c r="B36" s="17" t="s">
        <v>47</v>
      </c>
      <c r="C36" s="2">
        <v>2</v>
      </c>
      <c r="D36" s="2">
        <v>2</v>
      </c>
      <c r="E36" s="28">
        <v>3</v>
      </c>
      <c r="F36" s="28">
        <v>1.5</v>
      </c>
      <c r="G36" s="2" t="s">
        <v>77</v>
      </c>
      <c r="H36" s="28">
        <v>0</v>
      </c>
      <c r="I36" s="34">
        <v>0</v>
      </c>
      <c r="J36" s="39">
        <v>6.8839285714499994</v>
      </c>
      <c r="K36" s="39">
        <v>1.0480332649426141</v>
      </c>
      <c r="L36" s="39">
        <v>6.1428571428999996</v>
      </c>
      <c r="M36" s="39">
        <v>6.1428571428999996</v>
      </c>
      <c r="N36" s="39">
        <v>7.625</v>
      </c>
      <c r="O36" s="39">
        <v>7.625</v>
      </c>
      <c r="P36" s="39">
        <v>93.75</v>
      </c>
      <c r="Q36" s="39">
        <v>10.818733752154181</v>
      </c>
      <c r="R36" s="39">
        <v>101.4</v>
      </c>
      <c r="S36" s="39">
        <v>101.4</v>
      </c>
      <c r="T36" s="39">
        <v>86.1</v>
      </c>
      <c r="U36" s="39">
        <v>86.1</v>
      </c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</row>
    <row r="37" spans="1:33">
      <c r="A37" s="92"/>
      <c r="B37" s="17" t="s">
        <v>48</v>
      </c>
      <c r="C37" s="2">
        <v>2</v>
      </c>
      <c r="D37" s="2">
        <v>2</v>
      </c>
      <c r="E37" s="28">
        <v>10</v>
      </c>
      <c r="F37" s="28">
        <v>5</v>
      </c>
      <c r="G37" s="2" t="s">
        <v>77</v>
      </c>
      <c r="H37" s="28">
        <v>2</v>
      </c>
      <c r="I37" s="34">
        <v>1</v>
      </c>
      <c r="J37" s="39">
        <v>5.4762147468500002</v>
      </c>
      <c r="K37" s="39">
        <v>0.47885280831534138</v>
      </c>
      <c r="L37" s="39">
        <v>5.1376146789000003</v>
      </c>
      <c r="M37" s="39">
        <v>5.1376146789000003</v>
      </c>
      <c r="N37" s="39">
        <v>5.8148148148000001</v>
      </c>
      <c r="O37" s="39">
        <v>5.8148148148000001</v>
      </c>
      <c r="P37" s="39">
        <v>108.22499999999999</v>
      </c>
      <c r="Q37" s="39">
        <v>0.1060660171779761</v>
      </c>
      <c r="R37" s="39">
        <v>108.3</v>
      </c>
      <c r="S37" s="39">
        <v>108.3</v>
      </c>
      <c r="T37" s="39">
        <v>108.15</v>
      </c>
      <c r="U37" s="39">
        <v>108.15</v>
      </c>
      <c r="V37" s="39">
        <v>5.3532110091499998</v>
      </c>
      <c r="W37" s="39">
        <v>0.30489925423741859</v>
      </c>
      <c r="X37" s="39">
        <v>5.1376146789000003</v>
      </c>
      <c r="Y37" s="39">
        <v>5.3532110091499998</v>
      </c>
      <c r="Z37" s="39">
        <v>5.4610091742750004</v>
      </c>
      <c r="AA37" s="39">
        <v>5.5688073394000002</v>
      </c>
      <c r="AB37" s="39">
        <v>105.9</v>
      </c>
      <c r="AC37" s="39">
        <v>3.1819805153394638</v>
      </c>
      <c r="AD37" s="39">
        <v>108.15</v>
      </c>
      <c r="AE37" s="39">
        <v>105.9</v>
      </c>
      <c r="AF37" s="39">
        <v>104.77500000000001</v>
      </c>
      <c r="AG37" s="39">
        <v>103.65</v>
      </c>
    </row>
    <row r="38" spans="1:33">
      <c r="A38" s="23" t="s">
        <v>49</v>
      </c>
      <c r="B38" s="17" t="s">
        <v>50</v>
      </c>
      <c r="C38" s="2">
        <v>2</v>
      </c>
      <c r="D38" s="2">
        <v>2</v>
      </c>
      <c r="E38" s="28">
        <v>14</v>
      </c>
      <c r="F38" s="28">
        <v>7</v>
      </c>
      <c r="G38" s="2" t="s">
        <v>77</v>
      </c>
      <c r="H38" s="28">
        <v>2</v>
      </c>
      <c r="I38" s="34">
        <v>1</v>
      </c>
      <c r="J38" s="39">
        <v>4.2575757575500006</v>
      </c>
      <c r="K38" s="39">
        <v>1.17851130200115</v>
      </c>
      <c r="L38" s="39">
        <v>3.4242424242</v>
      </c>
      <c r="M38" s="39">
        <v>3.4242424242</v>
      </c>
      <c r="N38" s="39">
        <v>5.0909090909000003</v>
      </c>
      <c r="O38" s="39">
        <v>5.0909090909000003</v>
      </c>
      <c r="P38" s="39">
        <v>95.550000000000011</v>
      </c>
      <c r="Q38" s="39">
        <v>9.3338095116624284</v>
      </c>
      <c r="R38" s="39">
        <v>102.15</v>
      </c>
      <c r="S38" s="39">
        <v>102.15</v>
      </c>
      <c r="T38" s="39">
        <v>88.95</v>
      </c>
      <c r="U38" s="39">
        <v>88.95</v>
      </c>
      <c r="V38" s="39">
        <v>5.0361952861999999</v>
      </c>
      <c r="W38" s="39">
        <v>7.7377004655772755E-2</v>
      </c>
      <c r="X38" s="39">
        <v>4.9814814815000004</v>
      </c>
      <c r="Y38" s="39">
        <v>5.0361952861999999</v>
      </c>
      <c r="Z38" s="39">
        <v>5.0635521885500001</v>
      </c>
      <c r="AA38" s="39">
        <v>5.0909090909000003</v>
      </c>
      <c r="AB38" s="39">
        <v>86.550000000000011</v>
      </c>
      <c r="AC38" s="39">
        <v>3.3941125496954259</v>
      </c>
      <c r="AD38" s="39">
        <v>88.95</v>
      </c>
      <c r="AE38" s="39">
        <v>86.550000000000011</v>
      </c>
      <c r="AF38" s="39">
        <v>85.350000000000009</v>
      </c>
      <c r="AG38" s="39">
        <v>84.15</v>
      </c>
    </row>
    <row r="39" spans="1:33" s="16" customFormat="1">
      <c r="A39" s="17" t="s">
        <v>111</v>
      </c>
      <c r="B39" s="17" t="s">
        <v>62</v>
      </c>
      <c r="C39" s="17">
        <v>2</v>
      </c>
      <c r="D39" s="17">
        <v>4</v>
      </c>
      <c r="E39" s="28">
        <v>13</v>
      </c>
      <c r="F39" s="28">
        <v>3.25</v>
      </c>
      <c r="G39" s="17" t="s">
        <v>77</v>
      </c>
      <c r="H39" s="28">
        <v>4</v>
      </c>
      <c r="I39" s="34">
        <v>3</v>
      </c>
      <c r="J39" s="39">
        <v>5.2565704604750003</v>
      </c>
      <c r="K39" s="39">
        <v>0.71248086497991781</v>
      </c>
      <c r="L39" s="39">
        <v>4.5967741934999999</v>
      </c>
      <c r="M39" s="39">
        <v>4.7938144329999997</v>
      </c>
      <c r="N39" s="39">
        <v>5.4690265486999996</v>
      </c>
      <c r="O39" s="39">
        <v>6.1666666667000003</v>
      </c>
      <c r="P39" s="39">
        <v>76.237500000000011</v>
      </c>
      <c r="Q39" s="39">
        <v>2.644924384552422</v>
      </c>
      <c r="R39" s="39">
        <v>79.650000000000006</v>
      </c>
      <c r="S39" s="39">
        <v>76.2</v>
      </c>
      <c r="T39" s="39">
        <v>75.900000000000006</v>
      </c>
      <c r="U39" s="39">
        <v>73.2</v>
      </c>
      <c r="V39" s="39">
        <v>5.9623424971499999</v>
      </c>
      <c r="W39" s="39">
        <v>0.79869006188128511</v>
      </c>
      <c r="X39" s="39">
        <v>4.7938144329999997</v>
      </c>
      <c r="Y39" s="39">
        <v>6.2638888889000004</v>
      </c>
      <c r="Z39" s="39">
        <v>6.4444444444749998</v>
      </c>
      <c r="AA39" s="39">
        <v>6.5277777777999999</v>
      </c>
      <c r="AB39" s="39">
        <v>70.3125</v>
      </c>
      <c r="AC39" s="39">
        <v>6.7264868244872114</v>
      </c>
      <c r="AD39" s="39">
        <v>79.650000000000006</v>
      </c>
      <c r="AE39" s="39">
        <v>68.174999999999997</v>
      </c>
      <c r="AF39" s="39">
        <v>65.474999999999994</v>
      </c>
      <c r="AG39" s="39">
        <v>65.25</v>
      </c>
    </row>
    <row r="40" spans="1:33">
      <c r="A40" s="90" t="s">
        <v>51</v>
      </c>
      <c r="B40" s="17" t="s">
        <v>52</v>
      </c>
      <c r="C40" s="2">
        <v>2</v>
      </c>
      <c r="D40" s="2">
        <v>2</v>
      </c>
      <c r="E40" s="28">
        <v>10</v>
      </c>
      <c r="F40" s="28">
        <v>5</v>
      </c>
      <c r="G40" s="2" t="s">
        <v>77</v>
      </c>
      <c r="H40" s="28">
        <v>2</v>
      </c>
      <c r="I40" s="34">
        <v>0</v>
      </c>
      <c r="J40" s="39">
        <v>5.3219955615999996</v>
      </c>
      <c r="K40" s="39">
        <v>0.48337471919934438</v>
      </c>
      <c r="L40" s="39">
        <v>4.9801980198000004</v>
      </c>
      <c r="M40" s="39">
        <v>4.9801980198000004</v>
      </c>
      <c r="N40" s="39">
        <v>5.6637931033999998</v>
      </c>
      <c r="O40" s="39">
        <v>5.6637931033999998</v>
      </c>
      <c r="P40" s="39">
        <v>100.575</v>
      </c>
      <c r="Q40" s="39">
        <v>9.8641395975523398</v>
      </c>
      <c r="R40" s="39">
        <v>107.55</v>
      </c>
      <c r="S40" s="39">
        <v>107.55</v>
      </c>
      <c r="T40" s="39">
        <v>93.6</v>
      </c>
      <c r="U40" s="39">
        <v>93.6</v>
      </c>
      <c r="V40" s="39">
        <v>5.3219955615999996</v>
      </c>
      <c r="W40" s="39">
        <v>0.48337471919934438</v>
      </c>
      <c r="X40" s="39">
        <v>4.9801980198000004</v>
      </c>
      <c r="Y40" s="39">
        <v>5.3219955615999996</v>
      </c>
      <c r="Z40" s="39">
        <v>5.4928943324999997</v>
      </c>
      <c r="AA40" s="39">
        <v>5.6637931033999998</v>
      </c>
      <c r="AB40" s="39">
        <v>100.575</v>
      </c>
      <c r="AC40" s="39">
        <v>9.8641395975523398</v>
      </c>
      <c r="AD40" s="39">
        <v>107.55</v>
      </c>
      <c r="AE40" s="39">
        <v>100.575</v>
      </c>
      <c r="AF40" s="39">
        <v>97.087499999999991</v>
      </c>
      <c r="AG40" s="39">
        <v>93.6</v>
      </c>
    </row>
    <row r="41" spans="1:33">
      <c r="A41" s="91"/>
      <c r="B41" s="17" t="s">
        <v>53</v>
      </c>
      <c r="C41" s="2">
        <v>2</v>
      </c>
      <c r="D41" s="2">
        <v>2</v>
      </c>
      <c r="E41" s="28">
        <v>32</v>
      </c>
      <c r="F41" s="28">
        <v>16</v>
      </c>
      <c r="G41" s="2" t="s">
        <v>77</v>
      </c>
      <c r="H41" s="28">
        <v>2</v>
      </c>
      <c r="I41" s="34">
        <v>0</v>
      </c>
      <c r="J41" s="39">
        <v>3.4804625199500001</v>
      </c>
      <c r="K41" s="39">
        <v>0.22047747327269709</v>
      </c>
      <c r="L41" s="39">
        <v>3.3245614035000002</v>
      </c>
      <c r="M41" s="39">
        <v>3.3245614035000002</v>
      </c>
      <c r="N41" s="39">
        <v>3.6363636364</v>
      </c>
      <c r="O41" s="39">
        <v>3.6363636364</v>
      </c>
      <c r="P41" s="39">
        <v>99.525000000000006</v>
      </c>
      <c r="Q41" s="39">
        <v>1.1667261889577969</v>
      </c>
      <c r="R41" s="39">
        <v>100.35</v>
      </c>
      <c r="S41" s="39">
        <v>100.35</v>
      </c>
      <c r="T41" s="39">
        <v>98.7</v>
      </c>
      <c r="U41" s="39">
        <v>98.7</v>
      </c>
      <c r="V41" s="39">
        <v>3.4804625199500001</v>
      </c>
      <c r="W41" s="39">
        <v>0.22047747327269709</v>
      </c>
      <c r="X41" s="39">
        <v>3.3245614035000002</v>
      </c>
      <c r="Y41" s="39">
        <v>3.4804625199500001</v>
      </c>
      <c r="Z41" s="39">
        <v>3.5584130781750001</v>
      </c>
      <c r="AA41" s="39">
        <v>3.6363636364</v>
      </c>
      <c r="AB41" s="39">
        <v>99.525000000000006</v>
      </c>
      <c r="AC41" s="39">
        <v>1.1667261889577969</v>
      </c>
      <c r="AD41" s="39">
        <v>100.35</v>
      </c>
      <c r="AE41" s="39">
        <v>99.525000000000006</v>
      </c>
      <c r="AF41" s="39">
        <v>99.112499999999997</v>
      </c>
      <c r="AG41" s="39">
        <v>98.7</v>
      </c>
    </row>
    <row r="42" spans="1:33">
      <c r="A42" s="91"/>
      <c r="B42" s="17" t="s">
        <v>54</v>
      </c>
      <c r="C42" s="2">
        <v>2</v>
      </c>
      <c r="D42" s="2">
        <v>2</v>
      </c>
      <c r="E42" s="28">
        <v>29</v>
      </c>
      <c r="F42" s="28">
        <v>14.5</v>
      </c>
      <c r="G42" s="2" t="s">
        <v>77</v>
      </c>
      <c r="H42" s="28">
        <v>2</v>
      </c>
      <c r="I42" s="34">
        <v>1</v>
      </c>
      <c r="J42" s="39">
        <v>4.4176751008499986</v>
      </c>
      <c r="K42" s="39">
        <v>0.1426141289166839</v>
      </c>
      <c r="L42" s="39">
        <v>4.3168316832000002</v>
      </c>
      <c r="M42" s="39">
        <v>4.3168316832000002</v>
      </c>
      <c r="N42" s="39">
        <v>4.5185185184999996</v>
      </c>
      <c r="O42" s="39">
        <v>4.5185185184999996</v>
      </c>
      <c r="P42" s="39">
        <v>106.425</v>
      </c>
      <c r="Q42" s="39">
        <v>4.7729707730091961</v>
      </c>
      <c r="R42" s="39">
        <v>109.8</v>
      </c>
      <c r="S42" s="39">
        <v>109.8</v>
      </c>
      <c r="T42" s="39">
        <v>103.05</v>
      </c>
      <c r="U42" s="39">
        <v>103.05</v>
      </c>
      <c r="V42" s="39">
        <v>4.5289515559</v>
      </c>
      <c r="W42" s="39">
        <v>0.29998280082119411</v>
      </c>
      <c r="X42" s="39">
        <v>4.3168316832000002</v>
      </c>
      <c r="Y42" s="39">
        <v>4.5289515559</v>
      </c>
      <c r="Z42" s="39">
        <v>4.6350114922499994</v>
      </c>
      <c r="AA42" s="39">
        <v>4.7410714285999997</v>
      </c>
      <c r="AB42" s="39">
        <v>101.7</v>
      </c>
      <c r="AC42" s="39">
        <v>11.45512985522207</v>
      </c>
      <c r="AD42" s="39">
        <v>109.8</v>
      </c>
      <c r="AE42" s="39">
        <v>101.7</v>
      </c>
      <c r="AF42" s="39">
        <v>97.649999999999991</v>
      </c>
      <c r="AG42" s="39">
        <v>93.6</v>
      </c>
    </row>
    <row r="43" spans="1:33">
      <c r="A43" s="91"/>
      <c r="B43" s="17" t="s">
        <v>55</v>
      </c>
      <c r="C43" s="2">
        <v>2</v>
      </c>
      <c r="D43" s="2">
        <v>2</v>
      </c>
      <c r="E43" s="28">
        <v>6</v>
      </c>
      <c r="F43" s="28">
        <v>3</v>
      </c>
      <c r="G43" s="2" t="s">
        <v>77</v>
      </c>
      <c r="H43" s="28">
        <v>2</v>
      </c>
      <c r="I43" s="34">
        <v>1</v>
      </c>
      <c r="J43" s="39">
        <v>3.4002702702500001</v>
      </c>
      <c r="K43" s="39">
        <v>3.026799243331479</v>
      </c>
      <c r="L43" s="39">
        <v>1.26</v>
      </c>
      <c r="M43" s="39">
        <v>1.26</v>
      </c>
      <c r="N43" s="39">
        <v>5.5405405405000003</v>
      </c>
      <c r="O43" s="39">
        <v>5.5405405405000003</v>
      </c>
      <c r="P43" s="39">
        <v>94.05</v>
      </c>
      <c r="Q43" s="39">
        <v>0.42426406871192451</v>
      </c>
      <c r="R43" s="39">
        <v>94.35</v>
      </c>
      <c r="S43" s="39">
        <v>94.35</v>
      </c>
      <c r="T43" s="39">
        <v>93.75</v>
      </c>
      <c r="U43" s="39">
        <v>93.75</v>
      </c>
      <c r="V43" s="39">
        <v>5.6960128445000002</v>
      </c>
      <c r="W43" s="39">
        <v>0.2198710408901926</v>
      </c>
      <c r="X43" s="39">
        <v>5.5405405405000003</v>
      </c>
      <c r="Y43" s="39">
        <v>5.6960128445000002</v>
      </c>
      <c r="Z43" s="39">
        <v>5.7737489965000002</v>
      </c>
      <c r="AA43" s="39">
        <v>5.8514851485000001</v>
      </c>
      <c r="AB43" s="39">
        <v>92.4</v>
      </c>
      <c r="AC43" s="39">
        <v>1.9091883092036801</v>
      </c>
      <c r="AD43" s="39">
        <v>93.75</v>
      </c>
      <c r="AE43" s="39">
        <v>92.4</v>
      </c>
      <c r="AF43" s="39">
        <v>91.724999999999994</v>
      </c>
      <c r="AG43" s="39">
        <v>91.05</v>
      </c>
    </row>
    <row r="44" spans="1:33">
      <c r="A44" s="92"/>
      <c r="B44" s="17" t="s">
        <v>56</v>
      </c>
      <c r="C44" s="2">
        <v>2</v>
      </c>
      <c r="D44" s="2">
        <v>2</v>
      </c>
      <c r="E44" s="28">
        <v>22</v>
      </c>
      <c r="F44" s="28">
        <v>11</v>
      </c>
      <c r="G44" s="2" t="s">
        <v>77</v>
      </c>
      <c r="H44" s="28">
        <v>2</v>
      </c>
      <c r="I44" s="34">
        <v>4</v>
      </c>
      <c r="J44" s="39">
        <v>4.8151223776499998</v>
      </c>
      <c r="K44" s="39">
        <v>0.574215209573675</v>
      </c>
      <c r="L44" s="39">
        <v>4.4090909090999997</v>
      </c>
      <c r="M44" s="39">
        <v>4.4090909090999997</v>
      </c>
      <c r="N44" s="39">
        <v>5.2211538462</v>
      </c>
      <c r="O44" s="39">
        <v>5.2211538462</v>
      </c>
      <c r="P44" s="39">
        <v>94.65</v>
      </c>
      <c r="Q44" s="39">
        <v>7.2124891681027874</v>
      </c>
      <c r="R44" s="39">
        <v>99.75</v>
      </c>
      <c r="S44" s="39">
        <v>99.75</v>
      </c>
      <c r="T44" s="39">
        <v>89.55</v>
      </c>
      <c r="U44" s="39">
        <v>89.55</v>
      </c>
      <c r="V44" s="39">
        <v>4.9633173843499998</v>
      </c>
      <c r="W44" s="39">
        <v>0.78379459792478667</v>
      </c>
      <c r="X44" s="39">
        <v>4.4090909090999997</v>
      </c>
      <c r="Y44" s="39">
        <v>4.9633173843499998</v>
      </c>
      <c r="Z44" s="39">
        <v>5.2404306219749994</v>
      </c>
      <c r="AA44" s="39">
        <v>5.5175438595999999</v>
      </c>
      <c r="AB44" s="39">
        <v>89.025000000000006</v>
      </c>
      <c r="AC44" s="39">
        <v>15.16744045645145</v>
      </c>
      <c r="AD44" s="39">
        <v>99.75</v>
      </c>
      <c r="AE44" s="39">
        <v>89.025000000000006</v>
      </c>
      <c r="AF44" s="39">
        <v>83.662499999999994</v>
      </c>
      <c r="AG44" s="39">
        <v>78.3</v>
      </c>
    </row>
    <row r="45" spans="1:33">
      <c r="A45" s="90" t="s">
        <v>57</v>
      </c>
      <c r="B45" s="17" t="s">
        <v>58</v>
      </c>
      <c r="C45" s="2">
        <v>2</v>
      </c>
      <c r="D45" s="2">
        <v>2</v>
      </c>
      <c r="E45" s="28">
        <v>8</v>
      </c>
      <c r="F45" s="28">
        <v>4</v>
      </c>
      <c r="G45" s="2" t="s">
        <v>77</v>
      </c>
      <c r="H45" s="28">
        <v>2</v>
      </c>
      <c r="I45" s="34">
        <v>1</v>
      </c>
      <c r="J45" s="39">
        <v>5.4049999999999994</v>
      </c>
      <c r="K45" s="39">
        <v>0.57275649276110319</v>
      </c>
      <c r="L45" s="39">
        <v>5</v>
      </c>
      <c r="M45" s="39">
        <v>5</v>
      </c>
      <c r="N45" s="39">
        <v>5.81</v>
      </c>
      <c r="O45" s="39">
        <v>5.81</v>
      </c>
      <c r="P45" s="39">
        <v>85.199999999999989</v>
      </c>
      <c r="Q45" s="39">
        <v>7.6367532368147106</v>
      </c>
      <c r="R45" s="39">
        <v>90.6</v>
      </c>
      <c r="S45" s="39">
        <v>90.6</v>
      </c>
      <c r="T45" s="39">
        <v>79.8</v>
      </c>
      <c r="U45" s="39">
        <v>79.8</v>
      </c>
      <c r="V45" s="39">
        <v>5.7530392156999994</v>
      </c>
      <c r="W45" s="39">
        <v>8.0554713680468085E-2</v>
      </c>
      <c r="X45" s="39">
        <v>5.6960784314000001</v>
      </c>
      <c r="Y45" s="39">
        <v>5.7530392156999994</v>
      </c>
      <c r="Z45" s="39">
        <v>5.78151960785</v>
      </c>
      <c r="AA45" s="39">
        <v>5.81</v>
      </c>
      <c r="AB45" s="39">
        <v>78.75</v>
      </c>
      <c r="AC45" s="39">
        <v>1.484924240491746</v>
      </c>
      <c r="AD45" s="39">
        <v>79.8</v>
      </c>
      <c r="AE45" s="39">
        <v>78.75</v>
      </c>
      <c r="AF45" s="39">
        <v>78.224999999999994</v>
      </c>
      <c r="AG45" s="39">
        <v>77.7</v>
      </c>
    </row>
    <row r="46" spans="1:33">
      <c r="A46" s="91"/>
      <c r="B46" s="17" t="s">
        <v>59</v>
      </c>
      <c r="C46" s="2">
        <v>2</v>
      </c>
      <c r="D46" s="2">
        <v>2</v>
      </c>
      <c r="E46" s="28">
        <v>5</v>
      </c>
      <c r="F46" s="28">
        <v>2.5</v>
      </c>
      <c r="G46" s="2" t="s">
        <v>77</v>
      </c>
      <c r="H46" s="28">
        <v>1</v>
      </c>
      <c r="I46" s="34">
        <v>2</v>
      </c>
      <c r="J46" s="39">
        <v>5.2073786408</v>
      </c>
      <c r="K46" s="39">
        <v>4.6133568603684623E-2</v>
      </c>
      <c r="L46" s="39">
        <v>5.1747572815999998</v>
      </c>
      <c r="M46" s="39">
        <v>5.1747572815999998</v>
      </c>
      <c r="N46" s="39">
        <v>5.24</v>
      </c>
      <c r="O46" s="39">
        <v>5.24</v>
      </c>
      <c r="P46" s="39">
        <v>82.95</v>
      </c>
      <c r="Q46" s="39">
        <v>1.060660171779821</v>
      </c>
      <c r="R46" s="39">
        <v>83.7</v>
      </c>
      <c r="S46" s="39">
        <v>83.7</v>
      </c>
      <c r="T46" s="39">
        <v>82.2</v>
      </c>
      <c r="U46" s="39">
        <v>82.2</v>
      </c>
      <c r="V46" s="39">
        <v>5.24</v>
      </c>
      <c r="W46" s="39"/>
      <c r="X46" s="39">
        <v>5.24</v>
      </c>
      <c r="Y46" s="39">
        <v>5.24</v>
      </c>
      <c r="Z46" s="39">
        <v>5.24</v>
      </c>
      <c r="AA46" s="39">
        <v>5.24</v>
      </c>
      <c r="AB46" s="39">
        <v>83.7</v>
      </c>
      <c r="AC46" s="39"/>
      <c r="AD46" s="39">
        <v>83.7</v>
      </c>
      <c r="AE46" s="39">
        <v>83.7</v>
      </c>
      <c r="AF46" s="39">
        <v>83.7</v>
      </c>
      <c r="AG46" s="39">
        <v>83.7</v>
      </c>
    </row>
    <row r="47" spans="1:33">
      <c r="A47" s="91"/>
      <c r="B47" s="17" t="s">
        <v>60</v>
      </c>
      <c r="C47" s="2">
        <v>2</v>
      </c>
      <c r="D47" s="2">
        <v>2</v>
      </c>
      <c r="E47" s="28">
        <v>4</v>
      </c>
      <c r="F47" s="28">
        <v>2</v>
      </c>
      <c r="G47" s="2" t="s">
        <v>77</v>
      </c>
      <c r="H47" s="28">
        <v>2</v>
      </c>
      <c r="I47" s="34">
        <v>0</v>
      </c>
      <c r="J47" s="39">
        <v>6.0249381305999998</v>
      </c>
      <c r="K47" s="39">
        <v>0.1588399013958382</v>
      </c>
      <c r="L47" s="39">
        <v>5.9126213592000001</v>
      </c>
      <c r="M47" s="39">
        <v>5.9126213592000001</v>
      </c>
      <c r="N47" s="39">
        <v>6.1372549019999996</v>
      </c>
      <c r="O47" s="39">
        <v>6.1372549019999996</v>
      </c>
      <c r="P47" s="39">
        <v>86.1</v>
      </c>
      <c r="Q47" s="39">
        <v>5.0911688245431437</v>
      </c>
      <c r="R47" s="39">
        <v>89.7</v>
      </c>
      <c r="S47" s="39">
        <v>89.7</v>
      </c>
      <c r="T47" s="39">
        <v>82.5</v>
      </c>
      <c r="U47" s="39">
        <v>82.5</v>
      </c>
      <c r="V47" s="39">
        <v>6.0249381305999998</v>
      </c>
      <c r="W47" s="39">
        <v>0.1588399013958382</v>
      </c>
      <c r="X47" s="39">
        <v>5.9126213592000001</v>
      </c>
      <c r="Y47" s="39">
        <v>6.0249381305999998</v>
      </c>
      <c r="Z47" s="39">
        <v>6.0810965162999997</v>
      </c>
      <c r="AA47" s="39">
        <v>6.1372549019999996</v>
      </c>
      <c r="AB47" s="39">
        <v>86.1</v>
      </c>
      <c r="AC47" s="39">
        <v>5.0911688245431437</v>
      </c>
      <c r="AD47" s="39">
        <v>89.7</v>
      </c>
      <c r="AE47" s="39">
        <v>86.1</v>
      </c>
      <c r="AF47" s="39">
        <v>84.3</v>
      </c>
      <c r="AG47" s="39">
        <v>82.5</v>
      </c>
    </row>
    <row r="48" spans="1:33">
      <c r="A48" s="92"/>
      <c r="B48" s="17" t="s">
        <v>61</v>
      </c>
      <c r="C48" s="2">
        <v>2</v>
      </c>
      <c r="D48" s="2">
        <v>2</v>
      </c>
      <c r="E48" s="28">
        <v>4</v>
      </c>
      <c r="F48" s="28">
        <v>2</v>
      </c>
      <c r="G48" s="2" t="s">
        <v>77</v>
      </c>
      <c r="H48" s="28">
        <v>2</v>
      </c>
      <c r="I48" s="34">
        <v>1</v>
      </c>
      <c r="J48" s="39">
        <v>6.1362745097999998</v>
      </c>
      <c r="K48" s="39">
        <v>0.37296416498433288</v>
      </c>
      <c r="L48" s="39">
        <v>5.8725490196000001</v>
      </c>
      <c r="M48" s="39">
        <v>5.8725490196000001</v>
      </c>
      <c r="N48" s="39">
        <v>6.4</v>
      </c>
      <c r="O48" s="39">
        <v>6.4</v>
      </c>
      <c r="P48" s="39">
        <v>90.300000000000011</v>
      </c>
      <c r="Q48" s="39">
        <v>1.9091883092036801</v>
      </c>
      <c r="R48" s="39">
        <v>91.65</v>
      </c>
      <c r="S48" s="39">
        <v>91.65</v>
      </c>
      <c r="T48" s="39">
        <v>88.95</v>
      </c>
      <c r="U48" s="39">
        <v>88.95</v>
      </c>
      <c r="V48" s="39">
        <v>6.5796296296500003</v>
      </c>
      <c r="W48" s="39">
        <v>0.25403465845508622</v>
      </c>
      <c r="X48" s="39">
        <v>6.4</v>
      </c>
      <c r="Y48" s="39">
        <v>6.5796296296500003</v>
      </c>
      <c r="Z48" s="39">
        <v>6.6694444444750003</v>
      </c>
      <c r="AA48" s="39">
        <v>6.7592592593000003</v>
      </c>
      <c r="AB48" s="39">
        <v>78</v>
      </c>
      <c r="AC48" s="39">
        <v>19.304015126392759</v>
      </c>
      <c r="AD48" s="39">
        <v>91.65</v>
      </c>
      <c r="AE48" s="39">
        <v>78</v>
      </c>
      <c r="AF48" s="39">
        <v>71.174999999999997</v>
      </c>
      <c r="AG48" s="39">
        <v>64.349999999999994</v>
      </c>
    </row>
    <row r="49" spans="1:33">
      <c r="A49" s="17" t="s">
        <v>63</v>
      </c>
      <c r="B49" s="17" t="s">
        <v>64</v>
      </c>
      <c r="C49" s="2">
        <v>2</v>
      </c>
      <c r="D49" s="2">
        <v>2</v>
      </c>
      <c r="E49" s="28">
        <v>11</v>
      </c>
      <c r="F49" s="28">
        <v>5.5</v>
      </c>
      <c r="G49" s="2" t="s">
        <v>77</v>
      </c>
      <c r="H49" s="28">
        <v>2</v>
      </c>
      <c r="I49" s="34">
        <v>0</v>
      </c>
      <c r="J49" s="39">
        <v>5.3267537763000004</v>
      </c>
      <c r="K49" s="39">
        <v>4.9800867332805664E-3</v>
      </c>
      <c r="L49" s="39">
        <v>5.3232323232000001</v>
      </c>
      <c r="M49" s="39">
        <v>5.3232323232000001</v>
      </c>
      <c r="N49" s="39">
        <v>5.3302752293999998</v>
      </c>
      <c r="O49" s="39">
        <v>5.3302752293999998</v>
      </c>
      <c r="P49" s="39">
        <v>90.974999999999994</v>
      </c>
      <c r="Q49" s="39">
        <v>4.3487067042972614</v>
      </c>
      <c r="R49" s="39">
        <v>94.05</v>
      </c>
      <c r="S49" s="39">
        <v>94.05</v>
      </c>
      <c r="T49" s="39">
        <v>87.9</v>
      </c>
      <c r="U49" s="39">
        <v>87.9</v>
      </c>
      <c r="V49" s="39">
        <v>5.3267537763000004</v>
      </c>
      <c r="W49" s="39">
        <v>4.9800867332805664E-3</v>
      </c>
      <c r="X49" s="39">
        <v>5.3232323232000001</v>
      </c>
      <c r="Y49" s="39">
        <v>5.3267537763000004</v>
      </c>
      <c r="Z49" s="39">
        <v>5.3285145028500001</v>
      </c>
      <c r="AA49" s="39">
        <v>5.3302752293999998</v>
      </c>
      <c r="AB49" s="39">
        <v>90.974999999999994</v>
      </c>
      <c r="AC49" s="39">
        <v>4.3487067042972614</v>
      </c>
      <c r="AD49" s="39">
        <v>94.05</v>
      </c>
      <c r="AE49" s="39">
        <v>90.974999999999994</v>
      </c>
      <c r="AF49" s="39">
        <v>89.4375</v>
      </c>
      <c r="AG49" s="39">
        <v>87.9</v>
      </c>
    </row>
    <row r="50" spans="1:33">
      <c r="A50" s="17" t="s">
        <v>65</v>
      </c>
      <c r="B50" s="17" t="s">
        <v>66</v>
      </c>
      <c r="C50" s="2">
        <v>2</v>
      </c>
      <c r="D50" s="2">
        <v>2</v>
      </c>
      <c r="E50" s="28">
        <v>4</v>
      </c>
      <c r="F50" s="28">
        <v>2</v>
      </c>
      <c r="G50" s="2" t="s">
        <v>77</v>
      </c>
      <c r="H50" s="28">
        <v>2</v>
      </c>
      <c r="I50" s="34">
        <v>0</v>
      </c>
      <c r="J50" s="39">
        <v>5.2308720050000002</v>
      </c>
      <c r="K50" s="39">
        <v>0.22270682984505941</v>
      </c>
      <c r="L50" s="39">
        <v>5.0733944953999996</v>
      </c>
      <c r="M50" s="39">
        <v>5.0733944953999996</v>
      </c>
      <c r="N50" s="39">
        <v>5.3883495145999998</v>
      </c>
      <c r="O50" s="39">
        <v>5.3883495145999998</v>
      </c>
      <c r="P50" s="39">
        <v>82.050000000000011</v>
      </c>
      <c r="Q50" s="39">
        <v>6.1518289963229664</v>
      </c>
      <c r="R50" s="39">
        <v>86.4</v>
      </c>
      <c r="S50" s="39">
        <v>86.4</v>
      </c>
      <c r="T50" s="39">
        <v>77.7</v>
      </c>
      <c r="U50" s="39">
        <v>77.7</v>
      </c>
      <c r="V50" s="39">
        <v>5.2308720050000002</v>
      </c>
      <c r="W50" s="39">
        <v>0.22270682984505941</v>
      </c>
      <c r="X50" s="39">
        <v>5.0733944953999996</v>
      </c>
      <c r="Y50" s="39">
        <v>5.2308720050000002</v>
      </c>
      <c r="Z50" s="39">
        <v>5.3096107598</v>
      </c>
      <c r="AA50" s="39">
        <v>5.3883495145999998</v>
      </c>
      <c r="AB50" s="39">
        <v>82.050000000000011</v>
      </c>
      <c r="AC50" s="39">
        <v>6.1518289963229664</v>
      </c>
      <c r="AD50" s="39">
        <v>86.4</v>
      </c>
      <c r="AE50" s="39">
        <v>82.050000000000011</v>
      </c>
      <c r="AF50" s="39">
        <v>79.875</v>
      </c>
      <c r="AG50" s="39">
        <v>77.7</v>
      </c>
    </row>
    <row r="51" spans="1:33">
      <c r="A51" s="17" t="s">
        <v>112</v>
      </c>
      <c r="B51" s="17" t="s">
        <v>62</v>
      </c>
      <c r="C51" s="2">
        <v>2</v>
      </c>
      <c r="D51" s="2">
        <v>4</v>
      </c>
      <c r="E51" s="28">
        <v>13</v>
      </c>
      <c r="F51" s="28">
        <v>3.25</v>
      </c>
      <c r="G51" s="2" t="s">
        <v>77</v>
      </c>
      <c r="H51" s="28">
        <v>4</v>
      </c>
      <c r="I51" s="34">
        <v>3</v>
      </c>
      <c r="J51" s="39">
        <v>5.2565704604750003</v>
      </c>
      <c r="K51" s="39">
        <v>0.71248086497991781</v>
      </c>
      <c r="L51" s="39">
        <v>4.5967741934999999</v>
      </c>
      <c r="M51" s="39">
        <v>4.7938144329999997</v>
      </c>
      <c r="N51" s="39">
        <v>5.4690265486999996</v>
      </c>
      <c r="O51" s="39">
        <v>6.1666666667000003</v>
      </c>
      <c r="P51" s="39">
        <v>76.237500000000011</v>
      </c>
      <c r="Q51" s="39">
        <v>2.644924384552422</v>
      </c>
      <c r="R51" s="39">
        <v>79.650000000000006</v>
      </c>
      <c r="S51" s="39">
        <v>76.2</v>
      </c>
      <c r="T51" s="39">
        <v>75.900000000000006</v>
      </c>
      <c r="U51" s="39">
        <v>73.2</v>
      </c>
      <c r="V51" s="39">
        <v>5.9623424971499999</v>
      </c>
      <c r="W51" s="39">
        <v>0.79869006188128511</v>
      </c>
      <c r="X51" s="39">
        <v>4.7938144329999997</v>
      </c>
      <c r="Y51" s="39">
        <v>6.2638888889000004</v>
      </c>
      <c r="Z51" s="39">
        <v>6.4444444444749998</v>
      </c>
      <c r="AA51" s="39">
        <v>6.5277777777999999</v>
      </c>
      <c r="AB51" s="39">
        <v>70.3125</v>
      </c>
      <c r="AC51" s="39">
        <v>6.7264868244872114</v>
      </c>
      <c r="AD51" s="39">
        <v>79.650000000000006</v>
      </c>
      <c r="AE51" s="39">
        <v>68.174999999999997</v>
      </c>
      <c r="AF51" s="39">
        <v>65.474999999999994</v>
      </c>
      <c r="AG51" s="39">
        <v>65.25</v>
      </c>
    </row>
  </sheetData>
  <mergeCells count="24">
    <mergeCell ref="A35:A37"/>
    <mergeCell ref="A40:A44"/>
    <mergeCell ref="A45:A48"/>
    <mergeCell ref="A1:A3"/>
    <mergeCell ref="B1:B3"/>
    <mergeCell ref="A4:A10"/>
    <mergeCell ref="A11:A19"/>
    <mergeCell ref="A20:A25"/>
    <mergeCell ref="A26:A31"/>
    <mergeCell ref="A32:A34"/>
    <mergeCell ref="AB2:AG2"/>
    <mergeCell ref="V1:AG1"/>
    <mergeCell ref="V2:AA2"/>
    <mergeCell ref="C1:C3"/>
    <mergeCell ref="D1:I1"/>
    <mergeCell ref="D2:D3"/>
    <mergeCell ref="E2:E3"/>
    <mergeCell ref="F2:F3"/>
    <mergeCell ref="G2:G3"/>
    <mergeCell ref="H2:H3"/>
    <mergeCell ref="I2:I3"/>
    <mergeCell ref="J2:O2"/>
    <mergeCell ref="P2:U2"/>
    <mergeCell ref="J1:U1"/>
  </mergeCells>
  <phoneticPr fontId="7" type="noConversion"/>
  <pageMargins left="0.75" right="0.75" top="1" bottom="1" header="0.5" footer="0.5"/>
  <pageSetup paperSize="9" scale="31" orientation="landscape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0843B-3ED7-4859-A580-85ED67674A5B}">
  <dimension ref="A1:AM4"/>
  <sheetViews>
    <sheetView zoomScale="85" zoomScaleNormal="85" workbookViewId="0">
      <pane xSplit="2" ySplit="3" topLeftCell="C4" activePane="bottomRight" state="frozen"/>
      <selection pane="topRight"/>
      <selection pane="bottomLeft"/>
      <selection pane="bottomRight" activeCell="M22" sqref="M22"/>
    </sheetView>
  </sheetViews>
  <sheetFormatPr defaultRowHeight="16.5"/>
  <cols>
    <col min="1" max="1" width="14" style="6" customWidth="1"/>
    <col min="2" max="2" width="28" style="6" customWidth="1"/>
    <col min="3" max="3" width="11.5" style="4" customWidth="1"/>
    <col min="4" max="7" width="10" style="4" customWidth="1"/>
    <col min="8" max="8" width="7.875" style="4" customWidth="1"/>
    <col min="9" max="15" width="9.875" style="4" customWidth="1"/>
    <col min="16" max="39" width="11" style="4" customWidth="1"/>
    <col min="40" max="16384" width="9" style="4"/>
  </cols>
  <sheetData>
    <row r="1" spans="1:39">
      <c r="A1" s="90" t="s">
        <v>2</v>
      </c>
      <c r="B1" s="90" t="s">
        <v>3</v>
      </c>
      <c r="C1" s="86" t="s">
        <v>79</v>
      </c>
      <c r="D1" s="71" t="s">
        <v>78</v>
      </c>
      <c r="E1" s="71"/>
      <c r="F1" s="71"/>
      <c r="G1" s="71"/>
      <c r="H1" s="71"/>
      <c r="I1" s="71"/>
      <c r="J1" s="80" t="s">
        <v>114</v>
      </c>
      <c r="K1" s="81"/>
      <c r="L1" s="81"/>
      <c r="M1" s="81"/>
      <c r="N1" s="81"/>
      <c r="O1" s="82"/>
      <c r="P1" s="95" t="s">
        <v>0</v>
      </c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5" t="s">
        <v>1</v>
      </c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</row>
    <row r="2" spans="1:39" ht="21.95" customHeight="1">
      <c r="A2" s="91"/>
      <c r="B2" s="91"/>
      <c r="C2" s="86"/>
      <c r="D2" s="71" t="s">
        <v>70</v>
      </c>
      <c r="E2" s="71" t="s">
        <v>71</v>
      </c>
      <c r="F2" s="71" t="s">
        <v>72</v>
      </c>
      <c r="G2" s="86" t="s">
        <v>73</v>
      </c>
      <c r="H2" s="86" t="s">
        <v>74</v>
      </c>
      <c r="I2" s="86" t="s">
        <v>75</v>
      </c>
      <c r="J2" s="69" t="s">
        <v>92</v>
      </c>
      <c r="K2" s="69" t="s">
        <v>93</v>
      </c>
      <c r="L2" s="69" t="s">
        <v>94</v>
      </c>
      <c r="M2" s="69" t="s">
        <v>95</v>
      </c>
      <c r="N2" s="69" t="s">
        <v>96</v>
      </c>
      <c r="O2" s="69" t="s">
        <v>97</v>
      </c>
      <c r="P2" s="95" t="s">
        <v>4</v>
      </c>
      <c r="Q2" s="94"/>
      <c r="R2" s="94"/>
      <c r="S2" s="94"/>
      <c r="T2" s="94"/>
      <c r="U2" s="94"/>
      <c r="V2" s="93" t="s">
        <v>115</v>
      </c>
      <c r="W2" s="94"/>
      <c r="X2" s="94"/>
      <c r="Y2" s="94"/>
      <c r="Z2" s="94"/>
      <c r="AA2" s="94"/>
      <c r="AB2" s="95" t="s">
        <v>4</v>
      </c>
      <c r="AC2" s="94"/>
      <c r="AD2" s="94"/>
      <c r="AE2" s="94"/>
      <c r="AF2" s="94"/>
      <c r="AG2" s="94"/>
      <c r="AH2" s="93" t="s">
        <v>115</v>
      </c>
      <c r="AI2" s="94"/>
      <c r="AJ2" s="94"/>
      <c r="AK2" s="94"/>
      <c r="AL2" s="94"/>
      <c r="AM2" s="94"/>
    </row>
    <row r="3" spans="1:39" ht="21.95" customHeight="1">
      <c r="A3" s="92"/>
      <c r="B3" s="92"/>
      <c r="C3" s="86"/>
      <c r="D3" s="71"/>
      <c r="E3" s="71"/>
      <c r="F3" s="71"/>
      <c r="G3" s="86"/>
      <c r="H3" s="86"/>
      <c r="I3" s="86"/>
      <c r="J3" s="70"/>
      <c r="K3" s="70"/>
      <c r="L3" s="70"/>
      <c r="M3" s="70"/>
      <c r="N3" s="70"/>
      <c r="O3" s="70"/>
      <c r="P3" s="3" t="s">
        <v>6</v>
      </c>
      <c r="Q3" s="3" t="s">
        <v>7</v>
      </c>
      <c r="R3" s="3" t="s">
        <v>8</v>
      </c>
      <c r="S3" s="3" t="s">
        <v>9</v>
      </c>
      <c r="T3" s="3" t="s">
        <v>10</v>
      </c>
      <c r="U3" s="3" t="s">
        <v>11</v>
      </c>
      <c r="V3" s="3" t="s">
        <v>6</v>
      </c>
      <c r="W3" s="3" t="s">
        <v>7</v>
      </c>
      <c r="X3" s="3" t="s">
        <v>8</v>
      </c>
      <c r="Y3" s="3" t="s">
        <v>9</v>
      </c>
      <c r="Z3" s="3" t="s">
        <v>12</v>
      </c>
      <c r="AA3" s="3" t="s">
        <v>13</v>
      </c>
      <c r="AB3" s="3" t="s">
        <v>6</v>
      </c>
      <c r="AC3" s="3" t="s">
        <v>7</v>
      </c>
      <c r="AD3" s="3" t="s">
        <v>8</v>
      </c>
      <c r="AE3" s="3" t="s">
        <v>9</v>
      </c>
      <c r="AF3" s="3" t="s">
        <v>10</v>
      </c>
      <c r="AG3" s="3" t="s">
        <v>11</v>
      </c>
      <c r="AH3" s="3" t="s">
        <v>6</v>
      </c>
      <c r="AI3" s="3" t="s">
        <v>7</v>
      </c>
      <c r="AJ3" s="3" t="s">
        <v>8</v>
      </c>
      <c r="AK3" s="3" t="s">
        <v>9</v>
      </c>
      <c r="AL3" s="3" t="s">
        <v>12</v>
      </c>
      <c r="AM3" s="3" t="s">
        <v>13</v>
      </c>
    </row>
    <row r="4" spans="1:39" s="9" customFormat="1">
      <c r="A4" s="23" t="s">
        <v>49</v>
      </c>
      <c r="B4" s="23" t="s">
        <v>80</v>
      </c>
      <c r="C4" s="7">
        <v>2</v>
      </c>
      <c r="D4" s="7">
        <v>2</v>
      </c>
      <c r="E4" s="7">
        <v>34</v>
      </c>
      <c r="F4" s="7">
        <v>17</v>
      </c>
      <c r="G4" s="7">
        <v>4</v>
      </c>
      <c r="H4" s="7">
        <v>2</v>
      </c>
      <c r="I4" s="7">
        <v>1</v>
      </c>
      <c r="J4" s="7">
        <v>10</v>
      </c>
      <c r="K4" s="7">
        <v>3</v>
      </c>
      <c r="L4" s="7">
        <v>55.57</v>
      </c>
      <c r="M4" s="7">
        <v>17.97</v>
      </c>
      <c r="N4" s="7">
        <v>74</v>
      </c>
      <c r="O4" s="7">
        <v>21</v>
      </c>
      <c r="P4" s="24">
        <v>1.75100574715</v>
      </c>
      <c r="Q4" s="24">
        <v>8.3918132351138222E-2</v>
      </c>
      <c r="R4" s="24">
        <v>1.6916666667</v>
      </c>
      <c r="S4" s="24">
        <v>1.8103448276</v>
      </c>
      <c r="T4" s="24">
        <v>1.6916666667</v>
      </c>
      <c r="U4" s="24">
        <v>1.8103448276</v>
      </c>
      <c r="V4" s="24">
        <v>159.80000000000001</v>
      </c>
      <c r="W4" s="24">
        <v>4.2426406871192848</v>
      </c>
      <c r="X4" s="24">
        <v>162.80000000000001</v>
      </c>
      <c r="Y4" s="24">
        <v>156.80000000000001</v>
      </c>
      <c r="Z4" s="24">
        <v>162.80000000000001</v>
      </c>
      <c r="AA4" s="24">
        <v>156.80000000000001</v>
      </c>
      <c r="AB4" s="24">
        <v>1.76306715065</v>
      </c>
      <c r="AC4" s="24">
        <v>6.6860731940183951E-2</v>
      </c>
      <c r="AD4" s="24">
        <v>1.7157894736999999</v>
      </c>
      <c r="AE4" s="24">
        <v>1.8103448276</v>
      </c>
      <c r="AF4" s="24">
        <v>1.7157894736999999</v>
      </c>
      <c r="AG4" s="24">
        <v>1.8103448276</v>
      </c>
      <c r="AH4" s="24">
        <v>149.77500000000001</v>
      </c>
      <c r="AI4" s="24">
        <v>18.420131649909571</v>
      </c>
      <c r="AJ4" s="24">
        <v>162.80000000000001</v>
      </c>
      <c r="AK4" s="24">
        <v>136.75</v>
      </c>
      <c r="AL4" s="24">
        <v>162.80000000000001</v>
      </c>
      <c r="AM4" s="24">
        <v>136.75</v>
      </c>
    </row>
  </sheetData>
  <mergeCells count="23">
    <mergeCell ref="A1:A3"/>
    <mergeCell ref="B1:B3"/>
    <mergeCell ref="N2:N3"/>
    <mergeCell ref="O2:O3"/>
    <mergeCell ref="AH2:AM2"/>
    <mergeCell ref="C1:C3"/>
    <mergeCell ref="D1:I1"/>
    <mergeCell ref="P1:AA1"/>
    <mergeCell ref="AB1:AM1"/>
    <mergeCell ref="G2:G3"/>
    <mergeCell ref="H2:H3"/>
    <mergeCell ref="I2:I3"/>
    <mergeCell ref="P2:U2"/>
    <mergeCell ref="V2:AA2"/>
    <mergeCell ref="AB2:AG2"/>
    <mergeCell ref="J1:O1"/>
    <mergeCell ref="J2:J3"/>
    <mergeCell ref="K2:K3"/>
    <mergeCell ref="L2:L3"/>
    <mergeCell ref="M2:M3"/>
    <mergeCell ref="D2:D3"/>
    <mergeCell ref="E2:E3"/>
    <mergeCell ref="F2:F3"/>
  </mergeCells>
  <phoneticPr fontId="7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52"/>
  <sheetViews>
    <sheetView zoomScale="85" zoomScaleNormal="85" workbookViewId="0">
      <pane xSplit="2" ySplit="3" topLeftCell="N4" activePane="bottomRight" state="frozen"/>
      <selection pane="topRight"/>
      <selection pane="bottomLeft"/>
      <selection pane="bottomRight" activeCell="X10" sqref="X10"/>
    </sheetView>
  </sheetViews>
  <sheetFormatPr defaultRowHeight="16.5"/>
  <cols>
    <col min="1" max="1" width="14" style="21" customWidth="1"/>
    <col min="2" max="2" width="34.5" style="15" customWidth="1"/>
    <col min="3" max="3" width="10.5" style="21" customWidth="1"/>
    <col min="4" max="33" width="11" style="21" customWidth="1"/>
    <col min="34" max="16384" width="9" style="21"/>
  </cols>
  <sheetData>
    <row r="1" spans="1:33">
      <c r="A1" s="64" t="s">
        <v>2</v>
      </c>
      <c r="B1" s="66" t="s">
        <v>3</v>
      </c>
      <c r="C1" s="96" t="s">
        <v>76</v>
      </c>
      <c r="D1" s="63" t="s">
        <v>69</v>
      </c>
      <c r="E1" s="63"/>
      <c r="F1" s="63"/>
      <c r="G1" s="63"/>
      <c r="H1" s="63"/>
      <c r="I1" s="63"/>
      <c r="J1" s="55" t="s">
        <v>113</v>
      </c>
      <c r="K1" s="56"/>
      <c r="L1" s="56"/>
      <c r="M1" s="56"/>
      <c r="N1" s="56"/>
      <c r="O1" s="56"/>
      <c r="P1" s="56"/>
      <c r="Q1" s="56"/>
      <c r="R1" s="56"/>
      <c r="S1" s="56"/>
      <c r="T1" s="56"/>
      <c r="U1" s="57"/>
      <c r="V1" s="55" t="s">
        <v>116</v>
      </c>
      <c r="W1" s="56"/>
      <c r="X1" s="56"/>
      <c r="Y1" s="56"/>
      <c r="Z1" s="56"/>
      <c r="AA1" s="56"/>
      <c r="AB1" s="56"/>
      <c r="AC1" s="56"/>
      <c r="AD1" s="56"/>
      <c r="AE1" s="56"/>
      <c r="AF1" s="56"/>
      <c r="AG1" s="57"/>
    </row>
    <row r="2" spans="1:33" ht="21.95" customHeight="1">
      <c r="A2" s="66"/>
      <c r="B2" s="66"/>
      <c r="C2" s="96"/>
      <c r="D2" s="63" t="s">
        <v>70</v>
      </c>
      <c r="E2" s="63" t="s">
        <v>71</v>
      </c>
      <c r="F2" s="63" t="s">
        <v>72</v>
      </c>
      <c r="G2" s="49" t="s">
        <v>73</v>
      </c>
      <c r="H2" s="49" t="s">
        <v>74</v>
      </c>
      <c r="I2" s="49" t="s">
        <v>75</v>
      </c>
      <c r="J2" s="52" t="s">
        <v>4</v>
      </c>
      <c r="K2" s="53"/>
      <c r="L2" s="53"/>
      <c r="M2" s="53"/>
      <c r="N2" s="53"/>
      <c r="O2" s="54"/>
      <c r="P2" s="55" t="s">
        <v>120</v>
      </c>
      <c r="Q2" s="56"/>
      <c r="R2" s="56"/>
      <c r="S2" s="56"/>
      <c r="T2" s="56"/>
      <c r="U2" s="57"/>
      <c r="V2" s="52" t="s">
        <v>4</v>
      </c>
      <c r="W2" s="53"/>
      <c r="X2" s="53"/>
      <c r="Y2" s="53"/>
      <c r="Z2" s="53"/>
      <c r="AA2" s="54"/>
      <c r="AB2" s="55" t="s">
        <v>120</v>
      </c>
      <c r="AC2" s="56"/>
      <c r="AD2" s="56"/>
      <c r="AE2" s="56"/>
      <c r="AF2" s="56"/>
      <c r="AG2" s="57"/>
    </row>
    <row r="3" spans="1:33" ht="21.95" customHeight="1">
      <c r="A3" s="65"/>
      <c r="B3" s="65"/>
      <c r="C3" s="96"/>
      <c r="D3" s="63"/>
      <c r="E3" s="63"/>
      <c r="F3" s="63"/>
      <c r="G3" s="49"/>
      <c r="H3" s="49"/>
      <c r="I3" s="49"/>
      <c r="J3" s="20" t="s">
        <v>6</v>
      </c>
      <c r="K3" s="20" t="s">
        <v>7</v>
      </c>
      <c r="L3" s="20" t="s">
        <v>10</v>
      </c>
      <c r="M3" s="20" t="s">
        <v>8</v>
      </c>
      <c r="N3" s="20" t="s">
        <v>9</v>
      </c>
      <c r="O3" s="20" t="s">
        <v>11</v>
      </c>
      <c r="P3" s="20" t="s">
        <v>6</v>
      </c>
      <c r="Q3" s="20" t="s">
        <v>7</v>
      </c>
      <c r="R3" s="20" t="s">
        <v>12</v>
      </c>
      <c r="S3" s="20" t="s">
        <v>8</v>
      </c>
      <c r="T3" s="20" t="s">
        <v>9</v>
      </c>
      <c r="U3" s="20" t="s">
        <v>13</v>
      </c>
      <c r="V3" s="20" t="s">
        <v>6</v>
      </c>
      <c r="W3" s="20" t="s">
        <v>7</v>
      </c>
      <c r="X3" s="20" t="s">
        <v>10</v>
      </c>
      <c r="Y3" s="20" t="s">
        <v>8</v>
      </c>
      <c r="Z3" s="20" t="s">
        <v>9</v>
      </c>
      <c r="AA3" s="20" t="s">
        <v>11</v>
      </c>
      <c r="AB3" s="20" t="s">
        <v>6</v>
      </c>
      <c r="AC3" s="20" t="s">
        <v>7</v>
      </c>
      <c r="AD3" s="20" t="s">
        <v>12</v>
      </c>
      <c r="AE3" s="20" t="s">
        <v>8</v>
      </c>
      <c r="AF3" s="20" t="s">
        <v>9</v>
      </c>
      <c r="AG3" s="20" t="s">
        <v>13</v>
      </c>
    </row>
    <row r="4" spans="1:33">
      <c r="A4" s="64" t="s">
        <v>14</v>
      </c>
      <c r="B4" s="23" t="s">
        <v>15</v>
      </c>
      <c r="C4" s="23">
        <v>6</v>
      </c>
      <c r="D4" s="23">
        <v>6</v>
      </c>
      <c r="E4" s="23">
        <v>61</v>
      </c>
      <c r="F4" s="31">
        <v>10.166666666666666</v>
      </c>
      <c r="G4" s="23" t="s">
        <v>77</v>
      </c>
      <c r="H4" s="23">
        <v>6</v>
      </c>
      <c r="I4" s="23">
        <v>5</v>
      </c>
      <c r="J4" s="24">
        <v>3.5864558203833341</v>
      </c>
      <c r="K4" s="24">
        <v>0.43904718570597029</v>
      </c>
      <c r="L4" s="24">
        <v>2.7872340426000002</v>
      </c>
      <c r="M4" s="24">
        <v>3.75</v>
      </c>
      <c r="N4" s="24">
        <v>3.862745098</v>
      </c>
      <c r="O4" s="24">
        <v>3.9565217390999998</v>
      </c>
      <c r="P4" s="24">
        <v>931.62450000000001</v>
      </c>
      <c r="Q4" s="24">
        <v>11.219831527255669</v>
      </c>
      <c r="R4" s="24">
        <v>951.86800000000005</v>
      </c>
      <c r="S4" s="24">
        <v>927.81600000000003</v>
      </c>
      <c r="T4" s="24">
        <v>923.11300000000006</v>
      </c>
      <c r="U4" s="24">
        <v>922.3</v>
      </c>
      <c r="V4" s="24">
        <v>3.7985008728333338</v>
      </c>
      <c r="W4" s="24">
        <v>0.51475842761872415</v>
      </c>
      <c r="X4" s="24">
        <v>2.7872340426000002</v>
      </c>
      <c r="Y4" s="24">
        <v>3.9565217390999998</v>
      </c>
      <c r="Z4" s="24">
        <v>4.0925925926</v>
      </c>
      <c r="AA4" s="24">
        <v>4.1458333332999997</v>
      </c>
      <c r="AB4" s="24">
        <v>926.70550000000014</v>
      </c>
      <c r="AC4" s="24">
        <v>12.74111278892078</v>
      </c>
      <c r="AD4" s="24">
        <v>951.86800000000005</v>
      </c>
      <c r="AE4" s="24">
        <v>922.3</v>
      </c>
      <c r="AF4" s="24">
        <v>919.48199999999997</v>
      </c>
      <c r="AG4" s="24">
        <v>918.46</v>
      </c>
    </row>
    <row r="5" spans="1:33">
      <c r="A5" s="66"/>
      <c r="B5" s="23" t="s">
        <v>16</v>
      </c>
      <c r="C5" s="23">
        <v>10</v>
      </c>
      <c r="D5" s="23">
        <v>8</v>
      </c>
      <c r="E5" s="33">
        <v>115</v>
      </c>
      <c r="F5" s="31">
        <v>14.375</v>
      </c>
      <c r="G5" s="23" t="s">
        <v>77</v>
      </c>
      <c r="H5" s="27">
        <v>5</v>
      </c>
      <c r="I5" s="33">
        <v>16</v>
      </c>
      <c r="J5" s="24">
        <v>3.4196290119874999</v>
      </c>
      <c r="K5" s="24">
        <v>0.33888409547456372</v>
      </c>
      <c r="L5" s="24">
        <v>2.6956521739000001</v>
      </c>
      <c r="M5" s="24">
        <v>3.4318181818000002</v>
      </c>
      <c r="N5" s="24">
        <v>3.6296296296000001</v>
      </c>
      <c r="O5" s="24">
        <v>3.7446808511</v>
      </c>
      <c r="P5" s="24">
        <v>934.84850000000006</v>
      </c>
      <c r="Q5" s="24">
        <v>7.3899890585652619</v>
      </c>
      <c r="R5" s="24">
        <v>949.13</v>
      </c>
      <c r="S5" s="24">
        <v>934.12</v>
      </c>
      <c r="T5" s="24">
        <v>930.25</v>
      </c>
      <c r="U5" s="24">
        <v>928.197</v>
      </c>
      <c r="V5" s="24">
        <v>4.1618293246999993</v>
      </c>
      <c r="W5" s="24">
        <v>9.3834801564652293E-2</v>
      </c>
      <c r="X5" s="24">
        <v>4</v>
      </c>
      <c r="Y5" s="24">
        <v>4.1875</v>
      </c>
      <c r="Z5" s="24">
        <v>4.2173913043000004</v>
      </c>
      <c r="AA5" s="24">
        <v>4.2340425532000001</v>
      </c>
      <c r="AB5" s="24">
        <v>917.30619999999999</v>
      </c>
      <c r="AC5" s="24">
        <v>1.846547643577072</v>
      </c>
      <c r="AD5" s="24">
        <v>920.5</v>
      </c>
      <c r="AE5" s="24">
        <v>916.75</v>
      </c>
      <c r="AF5" s="24">
        <v>916.74699999999996</v>
      </c>
      <c r="AG5" s="24">
        <v>915.69399999999996</v>
      </c>
    </row>
    <row r="6" spans="1:33">
      <c r="A6" s="66"/>
      <c r="B6" s="23" t="s">
        <v>17</v>
      </c>
      <c r="C6" s="23">
        <v>7</v>
      </c>
      <c r="D6" s="23">
        <v>8</v>
      </c>
      <c r="E6" s="33">
        <v>75</v>
      </c>
      <c r="F6" s="31">
        <v>9.375</v>
      </c>
      <c r="G6" s="23" t="s">
        <v>77</v>
      </c>
      <c r="H6" s="27">
        <v>7</v>
      </c>
      <c r="I6" s="33">
        <v>17</v>
      </c>
      <c r="J6" s="24">
        <v>4.1169912116250007</v>
      </c>
      <c r="K6" s="24">
        <v>0.41226959413469771</v>
      </c>
      <c r="L6" s="24">
        <v>3.25</v>
      </c>
      <c r="M6" s="24">
        <v>4.2765957446999998</v>
      </c>
      <c r="N6" s="24">
        <v>4.3478260869999996</v>
      </c>
      <c r="O6" s="24">
        <v>4.4545454544999998</v>
      </c>
      <c r="P6" s="24">
        <v>918.11387500000001</v>
      </c>
      <c r="Q6" s="24">
        <v>9.2633444968789114</v>
      </c>
      <c r="R6" s="24">
        <v>936.05</v>
      </c>
      <c r="S6" s="24">
        <v>915.14300000000003</v>
      </c>
      <c r="T6" s="24">
        <v>912.83</v>
      </c>
      <c r="U6" s="24">
        <v>909.596</v>
      </c>
      <c r="V6" s="24">
        <v>4.6512792367857143</v>
      </c>
      <c r="W6" s="24">
        <v>0.25291680424404878</v>
      </c>
      <c r="X6" s="24">
        <v>4.1851851851999999</v>
      </c>
      <c r="Y6" s="24">
        <v>4.7291666667000003</v>
      </c>
      <c r="Z6" s="24">
        <v>4.8039215685999999</v>
      </c>
      <c r="AA6" s="24">
        <v>4.9777777778000001</v>
      </c>
      <c r="AB6" s="24">
        <v>904.0137142857144</v>
      </c>
      <c r="AC6" s="24">
        <v>6.5639267646302111</v>
      </c>
      <c r="AD6" s="24">
        <v>915.57100000000003</v>
      </c>
      <c r="AE6" s="24">
        <v>901.49699999999996</v>
      </c>
      <c r="AF6" s="24">
        <v>897.88499999999999</v>
      </c>
      <c r="AG6" s="24">
        <v>897.17</v>
      </c>
    </row>
    <row r="7" spans="1:33">
      <c r="A7" s="66"/>
      <c r="B7" s="23" t="s">
        <v>18</v>
      </c>
      <c r="C7" s="23">
        <v>7</v>
      </c>
      <c r="D7" s="23">
        <v>7</v>
      </c>
      <c r="E7" s="33">
        <v>93</v>
      </c>
      <c r="F7" s="31">
        <v>13.285714285714286</v>
      </c>
      <c r="G7" s="23" t="s">
        <v>77</v>
      </c>
      <c r="H7" s="27">
        <v>6</v>
      </c>
      <c r="I7" s="33">
        <v>12</v>
      </c>
      <c r="J7" s="24">
        <v>3.0632303440714281</v>
      </c>
      <c r="K7" s="24">
        <v>0.55697667626767267</v>
      </c>
      <c r="L7" s="24">
        <v>1.8571428570999999</v>
      </c>
      <c r="M7" s="24">
        <v>3.28</v>
      </c>
      <c r="N7" s="24">
        <v>3.3695652173999999</v>
      </c>
      <c r="O7" s="24">
        <v>3.4347826087</v>
      </c>
      <c r="P7" s="24">
        <v>940.67</v>
      </c>
      <c r="Q7" s="24">
        <v>4.5321969286429056</v>
      </c>
      <c r="R7" s="24">
        <v>950.32</v>
      </c>
      <c r="S7" s="24">
        <v>939.63900000000001</v>
      </c>
      <c r="T7" s="24">
        <v>937.75</v>
      </c>
      <c r="U7" s="24">
        <v>936.43799999999999</v>
      </c>
      <c r="V7" s="24">
        <v>3.7769195601000001</v>
      </c>
      <c r="W7" s="24">
        <v>0.27230123531483258</v>
      </c>
      <c r="X7" s="24">
        <v>3.2653061224000002</v>
      </c>
      <c r="Y7" s="24">
        <v>3.8043478260999999</v>
      </c>
      <c r="Z7" s="24">
        <v>3.9591836735000001</v>
      </c>
      <c r="AA7" s="24">
        <v>4</v>
      </c>
      <c r="AB7" s="24">
        <v>926.6286666666665</v>
      </c>
      <c r="AC7" s="24">
        <v>7.9560128372612962</v>
      </c>
      <c r="AD7" s="24">
        <v>941.23500000000001</v>
      </c>
      <c r="AE7" s="24">
        <v>924.86599999999999</v>
      </c>
      <c r="AF7" s="24">
        <v>921.57500000000005</v>
      </c>
      <c r="AG7" s="24">
        <v>920.005</v>
      </c>
    </row>
    <row r="8" spans="1:33">
      <c r="A8" s="66"/>
      <c r="B8" s="23" t="s">
        <v>19</v>
      </c>
      <c r="C8" s="23">
        <v>5</v>
      </c>
      <c r="D8" s="23">
        <v>5</v>
      </c>
      <c r="E8" s="33">
        <v>42</v>
      </c>
      <c r="F8" s="31">
        <v>8.4</v>
      </c>
      <c r="G8" s="23" t="s">
        <v>77</v>
      </c>
      <c r="H8" s="27">
        <v>5</v>
      </c>
      <c r="I8" s="33">
        <v>6</v>
      </c>
      <c r="J8" s="24">
        <v>3.464898989925</v>
      </c>
      <c r="K8" s="24">
        <v>0.47448690820887612</v>
      </c>
      <c r="L8" s="24">
        <v>2.7555555556</v>
      </c>
      <c r="M8" s="24">
        <v>3.6666666666999999</v>
      </c>
      <c r="N8" s="24">
        <v>3.6818181818000002</v>
      </c>
      <c r="O8" s="24">
        <v>3.7555555556</v>
      </c>
      <c r="P8" s="24">
        <v>930.36779999999999</v>
      </c>
      <c r="Q8" s="24">
        <v>9.2044998614807856</v>
      </c>
      <c r="R8" s="24">
        <v>945.61699999999996</v>
      </c>
      <c r="S8" s="24">
        <v>928.76599999999996</v>
      </c>
      <c r="T8" s="24">
        <v>925</v>
      </c>
      <c r="U8" s="24">
        <v>921.71699999999998</v>
      </c>
      <c r="V8" s="24">
        <v>4.0158799533750003</v>
      </c>
      <c r="W8" s="24">
        <v>0.2509472128333522</v>
      </c>
      <c r="X8" s="24">
        <v>3.6666666666999999</v>
      </c>
      <c r="Y8" s="24">
        <v>4</v>
      </c>
      <c r="Z8" s="24">
        <v>4.1923076923</v>
      </c>
      <c r="AA8" s="24">
        <v>4.2045454544999998</v>
      </c>
      <c r="AB8" s="24">
        <v>917.34419999999989</v>
      </c>
      <c r="AC8" s="24">
        <v>3.3271487342768271</v>
      </c>
      <c r="AD8" s="24">
        <v>921.71699999999998</v>
      </c>
      <c r="AE8" s="24">
        <v>916.48900000000003</v>
      </c>
      <c r="AF8" s="24">
        <v>916.14300000000003</v>
      </c>
      <c r="AG8" s="24">
        <v>913</v>
      </c>
    </row>
    <row r="9" spans="1:33">
      <c r="A9" s="66"/>
      <c r="B9" s="23" t="s">
        <v>20</v>
      </c>
      <c r="C9" s="23">
        <v>4</v>
      </c>
      <c r="D9" s="23">
        <v>5</v>
      </c>
      <c r="E9" s="33">
        <v>76</v>
      </c>
      <c r="F9" s="31">
        <v>15.2</v>
      </c>
      <c r="G9" s="23" t="s">
        <v>77</v>
      </c>
      <c r="H9" s="27">
        <v>5</v>
      </c>
      <c r="I9" s="33">
        <v>11</v>
      </c>
      <c r="J9" s="24">
        <v>3.0940631103</v>
      </c>
      <c r="K9" s="24">
        <v>0.30369543161065549</v>
      </c>
      <c r="L9" s="24">
        <v>2.6</v>
      </c>
      <c r="M9" s="24">
        <v>3.2765957446999998</v>
      </c>
      <c r="N9" s="24">
        <v>3.2826086957</v>
      </c>
      <c r="O9" s="24">
        <v>3.3111111110999998</v>
      </c>
      <c r="P9" s="24">
        <v>944.1074000000001</v>
      </c>
      <c r="Q9" s="24">
        <v>5.615566338313501</v>
      </c>
      <c r="R9" s="24">
        <v>952</v>
      </c>
      <c r="S9" s="24">
        <v>941.04100000000005</v>
      </c>
      <c r="T9" s="24">
        <v>939.73800000000006</v>
      </c>
      <c r="U9" s="24">
        <v>939.68100000000004</v>
      </c>
      <c r="V9" s="24">
        <v>3.7883550598600002</v>
      </c>
      <c r="W9" s="24">
        <v>0.25930201917558432</v>
      </c>
      <c r="X9" s="24">
        <v>3.3877551019999999</v>
      </c>
      <c r="Y9" s="24">
        <v>3.8478260870000001</v>
      </c>
      <c r="Z9" s="24">
        <v>3.8958333333000001</v>
      </c>
      <c r="AA9" s="24">
        <v>4.0869565217000003</v>
      </c>
      <c r="AB9" s="24">
        <v>927.04060000000004</v>
      </c>
      <c r="AC9" s="24">
        <v>6.7480433312182964</v>
      </c>
      <c r="AD9" s="24">
        <v>937.63</v>
      </c>
      <c r="AE9" s="24">
        <v>925.11300000000006</v>
      </c>
      <c r="AF9" s="24">
        <v>924.94</v>
      </c>
      <c r="AG9" s="24">
        <v>919.26800000000003</v>
      </c>
    </row>
    <row r="10" spans="1:33">
      <c r="A10" s="65"/>
      <c r="B10" s="23" t="s">
        <v>21</v>
      </c>
      <c r="C10" s="23">
        <v>12</v>
      </c>
      <c r="D10" s="23">
        <v>12</v>
      </c>
      <c r="E10" s="33">
        <v>83</v>
      </c>
      <c r="F10" s="31">
        <v>6.916666666666667</v>
      </c>
      <c r="G10" s="23" t="s">
        <v>77</v>
      </c>
      <c r="H10" s="27">
        <v>11</v>
      </c>
      <c r="I10" s="33">
        <v>12</v>
      </c>
      <c r="J10" s="24">
        <v>4.1521757774000001</v>
      </c>
      <c r="K10" s="24">
        <v>0.25560929829463641</v>
      </c>
      <c r="L10" s="24">
        <v>3.7450980392000002</v>
      </c>
      <c r="M10" s="24">
        <v>4.0833333332999997</v>
      </c>
      <c r="N10" s="24">
        <v>4.3913043478000002</v>
      </c>
      <c r="O10" s="24">
        <v>4.5416666667000003</v>
      </c>
      <c r="P10" s="24">
        <v>915.8996666666668</v>
      </c>
      <c r="Q10" s="24">
        <v>6.5767025909415313</v>
      </c>
      <c r="R10" s="24">
        <v>924.67899999999997</v>
      </c>
      <c r="S10" s="24">
        <v>917.77700000000004</v>
      </c>
      <c r="T10" s="24">
        <v>912.20399999999995</v>
      </c>
      <c r="U10" s="24">
        <v>905.26</v>
      </c>
      <c r="V10" s="24">
        <v>4.4102222855999997</v>
      </c>
      <c r="W10" s="24">
        <v>0.35897794091349883</v>
      </c>
      <c r="X10" s="24">
        <v>3.9183673469000002</v>
      </c>
      <c r="Y10" s="24">
        <v>4.4901960784000003</v>
      </c>
      <c r="Z10" s="24">
        <v>4.7234042553000002</v>
      </c>
      <c r="AA10" s="24">
        <v>4.8444444443999997</v>
      </c>
      <c r="AB10" s="24">
        <v>909.97409090909105</v>
      </c>
      <c r="AC10" s="24">
        <v>8.8300773321024231</v>
      </c>
      <c r="AD10" s="24">
        <v>923.423</v>
      </c>
      <c r="AE10" s="24">
        <v>907.10199999999998</v>
      </c>
      <c r="AF10" s="24">
        <v>902.226</v>
      </c>
      <c r="AG10" s="24">
        <v>900.04300000000001</v>
      </c>
    </row>
    <row r="11" spans="1:33">
      <c r="A11" s="64" t="s">
        <v>22</v>
      </c>
      <c r="B11" s="23" t="s">
        <v>23</v>
      </c>
      <c r="C11" s="23">
        <v>12</v>
      </c>
      <c r="D11" s="23">
        <v>12</v>
      </c>
      <c r="E11" s="33">
        <v>113</v>
      </c>
      <c r="F11" s="31">
        <v>9.4166666666666661</v>
      </c>
      <c r="G11" s="23" t="s">
        <v>77</v>
      </c>
      <c r="H11" s="27">
        <v>11</v>
      </c>
      <c r="I11" s="33">
        <v>11</v>
      </c>
      <c r="J11" s="24">
        <v>3.2048831665833339</v>
      </c>
      <c r="K11" s="24">
        <v>0.28154639825072553</v>
      </c>
      <c r="L11" s="24">
        <v>2.7608695652000002</v>
      </c>
      <c r="M11" s="24">
        <v>3.2340425532000001</v>
      </c>
      <c r="N11" s="24">
        <v>3.4255319149000001</v>
      </c>
      <c r="O11" s="24">
        <v>3.5217391303999999</v>
      </c>
      <c r="P11" s="24">
        <v>940.88158333333331</v>
      </c>
      <c r="Q11" s="24">
        <v>6.3874596950634892</v>
      </c>
      <c r="R11" s="24">
        <v>954.43799999999999</v>
      </c>
      <c r="S11" s="24">
        <v>939.25</v>
      </c>
      <c r="T11" s="24">
        <v>937</v>
      </c>
      <c r="U11" s="24">
        <v>934.577</v>
      </c>
      <c r="V11" s="24">
        <v>3.4050275259272729</v>
      </c>
      <c r="W11" s="24">
        <v>0.28560437075220507</v>
      </c>
      <c r="X11" s="24">
        <v>2.7837837838000001</v>
      </c>
      <c r="Y11" s="24">
        <v>3.4893617021000001</v>
      </c>
      <c r="Z11" s="24">
        <v>3.5957446809000002</v>
      </c>
      <c r="AA11" s="24">
        <v>3.7619047618999999</v>
      </c>
      <c r="AB11" s="24">
        <v>935.66427272727276</v>
      </c>
      <c r="AC11" s="24">
        <v>6.1407102047061182</v>
      </c>
      <c r="AD11" s="24">
        <v>946.48599999999999</v>
      </c>
      <c r="AE11" s="24">
        <v>934</v>
      </c>
      <c r="AF11" s="24">
        <v>930.60199999999998</v>
      </c>
      <c r="AG11" s="24">
        <v>928.35699999999997</v>
      </c>
    </row>
    <row r="12" spans="1:33">
      <c r="A12" s="66"/>
      <c r="B12" s="23" t="s">
        <v>24</v>
      </c>
      <c r="C12" s="23">
        <v>13</v>
      </c>
      <c r="D12" s="23">
        <v>13</v>
      </c>
      <c r="E12" s="33">
        <v>79</v>
      </c>
      <c r="F12" s="31">
        <v>6.0769230769230766</v>
      </c>
      <c r="G12" s="23" t="s">
        <v>77</v>
      </c>
      <c r="H12" s="27">
        <v>11</v>
      </c>
      <c r="I12" s="33">
        <v>23</v>
      </c>
      <c r="J12" s="24">
        <v>3.5929581573384608</v>
      </c>
      <c r="K12" s="24">
        <v>0.44505461954094561</v>
      </c>
      <c r="L12" s="24">
        <v>2.5853658536999999</v>
      </c>
      <c r="M12" s="24">
        <v>3.8125</v>
      </c>
      <c r="N12" s="24">
        <v>3.8372093022999998</v>
      </c>
      <c r="O12" s="24">
        <v>3.9454545455000001</v>
      </c>
      <c r="P12" s="24">
        <v>930.53315384615394</v>
      </c>
      <c r="Q12" s="24">
        <v>11.463881569565579</v>
      </c>
      <c r="R12" s="24">
        <v>955.67899999999997</v>
      </c>
      <c r="S12" s="24">
        <v>926.2</v>
      </c>
      <c r="T12" s="24">
        <v>924.85</v>
      </c>
      <c r="U12" s="24">
        <v>920.45899999999995</v>
      </c>
      <c r="V12" s="24">
        <v>4.3004553407363639</v>
      </c>
      <c r="W12" s="24">
        <v>0.2080548794852827</v>
      </c>
      <c r="X12" s="24">
        <v>3.8684210526</v>
      </c>
      <c r="Y12" s="24">
        <v>4.4186046511999999</v>
      </c>
      <c r="Z12" s="24">
        <v>4.4583333332999997</v>
      </c>
      <c r="AA12" s="24">
        <v>4.5111111111</v>
      </c>
      <c r="AB12" s="24">
        <v>911.4858181818181</v>
      </c>
      <c r="AC12" s="24">
        <v>3.490138158244807</v>
      </c>
      <c r="AD12" s="24">
        <v>916.15300000000002</v>
      </c>
      <c r="AE12" s="24">
        <v>910.56299999999999</v>
      </c>
      <c r="AF12" s="24">
        <v>908.45600000000002</v>
      </c>
      <c r="AG12" s="24">
        <v>907.3</v>
      </c>
    </row>
    <row r="13" spans="1:33">
      <c r="A13" s="66"/>
      <c r="B13" s="23" t="s">
        <v>25</v>
      </c>
      <c r="C13" s="23">
        <v>20</v>
      </c>
      <c r="D13" s="23">
        <v>20</v>
      </c>
      <c r="E13" s="33">
        <v>218</v>
      </c>
      <c r="F13" s="31">
        <v>10.9</v>
      </c>
      <c r="G13" s="23" t="s">
        <v>77</v>
      </c>
      <c r="H13" s="27">
        <v>20</v>
      </c>
      <c r="I13" s="33">
        <v>32</v>
      </c>
      <c r="J13" s="24">
        <v>3.6770534295900008</v>
      </c>
      <c r="K13" s="24">
        <v>0.1760433447640084</v>
      </c>
      <c r="L13" s="24">
        <v>3.3478260870000001</v>
      </c>
      <c r="M13" s="24">
        <v>3.7115384615</v>
      </c>
      <c r="N13" s="24">
        <v>3.8297872339999999</v>
      </c>
      <c r="O13" s="24">
        <v>3.8936170212999999</v>
      </c>
      <c r="P13" s="24">
        <v>929.95324999999991</v>
      </c>
      <c r="Q13" s="24">
        <v>5.1064967275958653</v>
      </c>
      <c r="R13" s="24">
        <v>939.10599999999999</v>
      </c>
      <c r="S13" s="24">
        <v>929.5</v>
      </c>
      <c r="T13" s="24">
        <v>925.61199999999997</v>
      </c>
      <c r="U13" s="24">
        <v>923.5</v>
      </c>
      <c r="V13" s="24">
        <v>3.9289711882299998</v>
      </c>
      <c r="W13" s="24">
        <v>0.31825610993547798</v>
      </c>
      <c r="X13" s="24">
        <v>2.9761904762000002</v>
      </c>
      <c r="Y13" s="24">
        <v>3.8936170212999999</v>
      </c>
      <c r="Z13" s="24">
        <v>4.1458333332999997</v>
      </c>
      <c r="AA13" s="24">
        <v>4.3777777778000004</v>
      </c>
      <c r="AB13" s="24">
        <v>921.14644999999985</v>
      </c>
      <c r="AC13" s="24">
        <v>6.0786156359816106</v>
      </c>
      <c r="AD13" s="24">
        <v>932.22400000000005</v>
      </c>
      <c r="AE13" s="24">
        <v>921.077</v>
      </c>
      <c r="AF13" s="24">
        <v>916.3</v>
      </c>
      <c r="AG13" s="24">
        <v>912.68100000000004</v>
      </c>
    </row>
    <row r="14" spans="1:33">
      <c r="A14" s="66"/>
      <c r="B14" s="23" t="s">
        <v>26</v>
      </c>
      <c r="C14" s="23">
        <v>6</v>
      </c>
      <c r="D14" s="23">
        <v>6</v>
      </c>
      <c r="E14" s="33">
        <v>56</v>
      </c>
      <c r="F14" s="31">
        <v>9.3333333333333339</v>
      </c>
      <c r="G14" s="23" t="s">
        <v>77</v>
      </c>
      <c r="H14" s="27">
        <v>6</v>
      </c>
      <c r="I14" s="33">
        <v>7</v>
      </c>
      <c r="J14" s="24">
        <v>3.5491379522833331</v>
      </c>
      <c r="K14" s="24">
        <v>0.25211311917971968</v>
      </c>
      <c r="L14" s="24">
        <v>3.1666666666999999</v>
      </c>
      <c r="M14" s="24">
        <v>3.5625</v>
      </c>
      <c r="N14" s="24">
        <v>3.7391304347999998</v>
      </c>
      <c r="O14" s="24">
        <v>3.8</v>
      </c>
      <c r="P14" s="24">
        <v>932.43499999999995</v>
      </c>
      <c r="Q14" s="24">
        <v>6.1255079789352989</v>
      </c>
      <c r="R14" s="24">
        <v>940.3</v>
      </c>
      <c r="S14" s="24">
        <v>931.32600000000002</v>
      </c>
      <c r="T14" s="24">
        <v>927.30799999999999</v>
      </c>
      <c r="U14" s="24">
        <v>926.125</v>
      </c>
      <c r="V14" s="24">
        <v>4.0676692624333333</v>
      </c>
      <c r="W14" s="24">
        <v>0.25683732747395638</v>
      </c>
      <c r="X14" s="24">
        <v>3.5625</v>
      </c>
      <c r="Y14" s="24">
        <v>4.1428571428999996</v>
      </c>
      <c r="Z14" s="24">
        <v>4.1956521739000001</v>
      </c>
      <c r="AA14" s="24">
        <v>4.2745098039</v>
      </c>
      <c r="AB14" s="24">
        <v>919.79833333333329</v>
      </c>
      <c r="AC14" s="24">
        <v>5.9757260200470128</v>
      </c>
      <c r="AD14" s="24">
        <v>931.32600000000002</v>
      </c>
      <c r="AE14" s="24">
        <v>918.471</v>
      </c>
      <c r="AF14" s="24">
        <v>916.31299999999999</v>
      </c>
      <c r="AG14" s="24">
        <v>914.92499999999995</v>
      </c>
    </row>
    <row r="15" spans="1:33">
      <c r="A15" s="66"/>
      <c r="B15" s="23" t="s">
        <v>27</v>
      </c>
      <c r="C15" s="23">
        <v>9</v>
      </c>
      <c r="D15" s="23">
        <v>9</v>
      </c>
      <c r="E15" s="33">
        <v>80</v>
      </c>
      <c r="F15" s="31">
        <v>8.8888888888888893</v>
      </c>
      <c r="G15" s="23" t="s">
        <v>77</v>
      </c>
      <c r="H15" s="27">
        <v>7</v>
      </c>
      <c r="I15" s="33">
        <v>23</v>
      </c>
      <c r="J15" s="24">
        <v>3.872924487566666</v>
      </c>
      <c r="K15" s="24">
        <v>0.24058561231830011</v>
      </c>
      <c r="L15" s="24">
        <v>3.5405405404999999</v>
      </c>
      <c r="M15" s="24">
        <v>3.8444444444000001</v>
      </c>
      <c r="N15" s="24">
        <v>4.0576923077</v>
      </c>
      <c r="O15" s="24">
        <v>4.22</v>
      </c>
      <c r="P15" s="24">
        <v>923.57011111111103</v>
      </c>
      <c r="Q15" s="24">
        <v>5.4203293590990613</v>
      </c>
      <c r="R15" s="24">
        <v>932.755</v>
      </c>
      <c r="S15" s="24">
        <v>923.78399999999999</v>
      </c>
      <c r="T15" s="24">
        <v>918.78599999999994</v>
      </c>
      <c r="U15" s="24">
        <v>916.404</v>
      </c>
      <c r="V15" s="24">
        <v>4.4370103005714281</v>
      </c>
      <c r="W15" s="24">
        <v>0.43523533050054791</v>
      </c>
      <c r="X15" s="24">
        <v>3.7021276595999999</v>
      </c>
      <c r="Y15" s="24">
        <v>4.4347826087</v>
      </c>
      <c r="Z15" s="24">
        <v>4.8913043478000002</v>
      </c>
      <c r="AA15" s="24">
        <v>4.8913043478000002</v>
      </c>
      <c r="AB15" s="24">
        <v>910.24099999999999</v>
      </c>
      <c r="AC15" s="24">
        <v>10.78201675630925</v>
      </c>
      <c r="AD15" s="24">
        <v>928.68700000000001</v>
      </c>
      <c r="AE15" s="24">
        <v>911.125</v>
      </c>
      <c r="AF15" s="24">
        <v>899.31299999999999</v>
      </c>
      <c r="AG15" s="24">
        <v>898.75</v>
      </c>
    </row>
    <row r="16" spans="1:33">
      <c r="A16" s="66"/>
      <c r="B16" s="23" t="s">
        <v>28</v>
      </c>
      <c r="C16" s="23">
        <v>10</v>
      </c>
      <c r="D16" s="23">
        <v>10</v>
      </c>
      <c r="E16" s="33">
        <v>93</v>
      </c>
      <c r="F16" s="31">
        <v>9.3000000000000007</v>
      </c>
      <c r="G16" s="23" t="s">
        <v>77</v>
      </c>
      <c r="H16" s="27">
        <v>8</v>
      </c>
      <c r="I16" s="33">
        <v>11</v>
      </c>
      <c r="J16" s="24">
        <v>3.7712017868399998</v>
      </c>
      <c r="K16" s="24">
        <v>0.1545948540557649</v>
      </c>
      <c r="L16" s="24">
        <v>3.5192307692</v>
      </c>
      <c r="M16" s="24">
        <v>3.8181818181999998</v>
      </c>
      <c r="N16" s="24">
        <v>3.875</v>
      </c>
      <c r="O16" s="24">
        <v>3.9591836735000001</v>
      </c>
      <c r="P16" s="24">
        <v>927.4405999999999</v>
      </c>
      <c r="Q16" s="24">
        <v>4.0160961199209986</v>
      </c>
      <c r="R16" s="24">
        <v>934.577</v>
      </c>
      <c r="S16" s="24">
        <v>926.46699999999998</v>
      </c>
      <c r="T16" s="24">
        <v>924.55</v>
      </c>
      <c r="U16" s="24">
        <v>922.673</v>
      </c>
      <c r="V16" s="24">
        <v>4.0899304822999998</v>
      </c>
      <c r="W16" s="24">
        <v>0.34562105667071807</v>
      </c>
      <c r="X16" s="24">
        <v>3.5192307692</v>
      </c>
      <c r="Y16" s="24">
        <v>4.2916666667000003</v>
      </c>
      <c r="Z16" s="24">
        <v>4.3265306122</v>
      </c>
      <c r="AA16" s="24">
        <v>4.3695652173999999</v>
      </c>
      <c r="AB16" s="24">
        <v>918.54549999999995</v>
      </c>
      <c r="AC16" s="24">
        <v>9.1118497259651576</v>
      </c>
      <c r="AD16" s="24">
        <v>933.26400000000001</v>
      </c>
      <c r="AE16" s="24">
        <v>913.68</v>
      </c>
      <c r="AF16" s="24">
        <v>912.21299999999997</v>
      </c>
      <c r="AG16" s="24">
        <v>911.21400000000006</v>
      </c>
    </row>
    <row r="17" spans="1:33">
      <c r="A17" s="66"/>
      <c r="B17" s="23" t="s">
        <v>29</v>
      </c>
      <c r="C17" s="23">
        <v>10</v>
      </c>
      <c r="D17" s="23">
        <v>10</v>
      </c>
      <c r="E17" s="33">
        <v>65</v>
      </c>
      <c r="F17" s="31">
        <v>6.5</v>
      </c>
      <c r="G17" s="23" t="s">
        <v>77</v>
      </c>
      <c r="H17" s="27">
        <v>10</v>
      </c>
      <c r="I17" s="33">
        <v>12</v>
      </c>
      <c r="J17" s="24">
        <v>3.580218604290001</v>
      </c>
      <c r="K17" s="24">
        <v>0.33315459133898961</v>
      </c>
      <c r="L17" s="24">
        <v>2.9743589743999999</v>
      </c>
      <c r="M17" s="24">
        <v>3.6956521739000001</v>
      </c>
      <c r="N17" s="24">
        <v>3.7692307692</v>
      </c>
      <c r="O17" s="24">
        <v>3.94</v>
      </c>
      <c r="P17" s="24">
        <v>932.35769999999991</v>
      </c>
      <c r="Q17" s="24">
        <v>8.5247945696981748</v>
      </c>
      <c r="R17" s="24">
        <v>950.90899999999999</v>
      </c>
      <c r="S17" s="24">
        <v>929.8</v>
      </c>
      <c r="T17" s="24">
        <v>927.14300000000003</v>
      </c>
      <c r="U17" s="24">
        <v>923.00599999999997</v>
      </c>
      <c r="V17" s="24">
        <v>3.7916491846699998</v>
      </c>
      <c r="W17" s="24">
        <v>0.49206763234613982</v>
      </c>
      <c r="X17" s="24">
        <v>2.9743589743999999</v>
      </c>
      <c r="Y17" s="24">
        <v>3.9787234043000002</v>
      </c>
      <c r="Z17" s="24">
        <v>4.2127659574000003</v>
      </c>
      <c r="AA17" s="24">
        <v>4.2553191489</v>
      </c>
      <c r="AB17" s="24">
        <v>925.48029999999994</v>
      </c>
      <c r="AC17" s="24">
        <v>13.715534583092269</v>
      </c>
      <c r="AD17" s="24">
        <v>950.90899999999999</v>
      </c>
      <c r="AE17" s="24">
        <v>921.18100000000004</v>
      </c>
      <c r="AF17" s="24">
        <v>914.745</v>
      </c>
      <c r="AG17" s="24">
        <v>910.84799999999996</v>
      </c>
    </row>
    <row r="18" spans="1:33">
      <c r="A18" s="66"/>
      <c r="B18" s="23" t="s">
        <v>110</v>
      </c>
      <c r="C18" s="23">
        <v>8</v>
      </c>
      <c r="D18" s="23">
        <v>8</v>
      </c>
      <c r="E18" s="27">
        <v>68</v>
      </c>
      <c r="F18" s="31">
        <v>8.5</v>
      </c>
      <c r="G18" s="23" t="s">
        <v>77</v>
      </c>
      <c r="H18" s="27">
        <v>8</v>
      </c>
      <c r="I18" s="33">
        <v>9</v>
      </c>
      <c r="J18" s="24">
        <v>3.4520910158000002</v>
      </c>
      <c r="K18" s="24">
        <v>0.24976003570565561</v>
      </c>
      <c r="L18" s="24">
        <v>2.9361702128</v>
      </c>
      <c r="M18" s="24">
        <v>3.4782608696000001</v>
      </c>
      <c r="N18" s="24">
        <v>3.6444444443999999</v>
      </c>
      <c r="O18" s="24">
        <v>3.6981132075000001</v>
      </c>
      <c r="P18" s="24">
        <v>936.35799999999995</v>
      </c>
      <c r="Q18" s="24">
        <v>7.0750027359913927</v>
      </c>
      <c r="R18" s="24">
        <v>949.85699999999997</v>
      </c>
      <c r="S18" s="24">
        <v>935.53099999999995</v>
      </c>
      <c r="T18" s="24">
        <v>930.02300000000002</v>
      </c>
      <c r="U18" s="24">
        <v>929.8</v>
      </c>
      <c r="V18" s="24">
        <v>3.9089092721375001</v>
      </c>
      <c r="W18" s="24">
        <v>0.2251453541084994</v>
      </c>
      <c r="X18" s="24">
        <v>3.4893617021000001</v>
      </c>
      <c r="Y18" s="24">
        <v>4</v>
      </c>
      <c r="Z18" s="24">
        <v>4.0217391304000003</v>
      </c>
      <c r="AA18" s="24">
        <v>4.1304347826000001</v>
      </c>
      <c r="AB18" s="24">
        <v>923.66475000000003</v>
      </c>
      <c r="AC18" s="24">
        <v>5.9304843875882813</v>
      </c>
      <c r="AD18" s="24">
        <v>935.53099999999995</v>
      </c>
      <c r="AE18" s="24">
        <v>921.63900000000001</v>
      </c>
      <c r="AF18" s="24">
        <v>920.60699999999997</v>
      </c>
      <c r="AG18" s="24">
        <v>918.5</v>
      </c>
    </row>
    <row r="19" spans="1:33">
      <c r="A19" s="65"/>
      <c r="B19" s="23" t="s">
        <v>30</v>
      </c>
      <c r="C19" s="23">
        <v>10</v>
      </c>
      <c r="D19" s="23">
        <v>10</v>
      </c>
      <c r="E19" s="33">
        <v>93</v>
      </c>
      <c r="F19" s="31">
        <v>9.3000000000000007</v>
      </c>
      <c r="G19" s="23" t="s">
        <v>77</v>
      </c>
      <c r="H19" s="27">
        <v>10</v>
      </c>
      <c r="I19" s="33">
        <v>28</v>
      </c>
      <c r="J19" s="24">
        <v>2.8978079565199999</v>
      </c>
      <c r="K19" s="24">
        <v>0.47560968772793971</v>
      </c>
      <c r="L19" s="24">
        <v>2.0851063829999998</v>
      </c>
      <c r="M19" s="24">
        <v>2.7234042553000002</v>
      </c>
      <c r="N19" s="24">
        <v>3.2916666666999999</v>
      </c>
      <c r="O19" s="24">
        <v>3.5686274509999998</v>
      </c>
      <c r="P19" s="24">
        <v>950.25849999999991</v>
      </c>
      <c r="Q19" s="24">
        <v>12.928173165180331</v>
      </c>
      <c r="R19" s="24">
        <v>971.89800000000002</v>
      </c>
      <c r="S19" s="24">
        <v>955.36699999999996</v>
      </c>
      <c r="T19" s="24">
        <v>937.78300000000002</v>
      </c>
      <c r="U19" s="24">
        <v>933.26400000000001</v>
      </c>
      <c r="V19" s="24">
        <v>3.8924562644400011</v>
      </c>
      <c r="W19" s="24">
        <v>0.49614280928229232</v>
      </c>
      <c r="X19" s="24">
        <v>2.6764705881999999</v>
      </c>
      <c r="Y19" s="24">
        <v>4.0222222221999999</v>
      </c>
      <c r="Z19" s="24">
        <v>4.2222222222000001</v>
      </c>
      <c r="AA19" s="24">
        <v>4.4000000000000004</v>
      </c>
      <c r="AB19" s="24">
        <v>923.69070000000011</v>
      </c>
      <c r="AC19" s="24">
        <v>13.55454960151757</v>
      </c>
      <c r="AD19" s="24">
        <v>957.25</v>
      </c>
      <c r="AE19" s="24">
        <v>920.125</v>
      </c>
      <c r="AF19" s="24">
        <v>916.529</v>
      </c>
      <c r="AG19" s="24">
        <v>911.62800000000004</v>
      </c>
    </row>
    <row r="20" spans="1:33" ht="33">
      <c r="A20" s="64" t="s">
        <v>31</v>
      </c>
      <c r="B20" s="22" t="s">
        <v>124</v>
      </c>
      <c r="C20" s="23">
        <v>8</v>
      </c>
      <c r="D20" s="23">
        <v>8</v>
      </c>
      <c r="E20" s="27">
        <v>42</v>
      </c>
      <c r="F20" s="31">
        <v>5.25</v>
      </c>
      <c r="G20" s="23" t="s">
        <v>77</v>
      </c>
      <c r="H20" s="27">
        <v>8</v>
      </c>
      <c r="I20" s="33">
        <v>12</v>
      </c>
      <c r="J20" s="24">
        <v>3.5751016984624999</v>
      </c>
      <c r="K20" s="24">
        <v>0.62315293541240424</v>
      </c>
      <c r="L20" s="24">
        <v>2.2599999999999998</v>
      </c>
      <c r="M20" s="24">
        <v>3.7755102041000002</v>
      </c>
      <c r="N20" s="24">
        <v>3.8958333333000001</v>
      </c>
      <c r="O20" s="24">
        <v>4.0434782608999997</v>
      </c>
      <c r="P20" s="24">
        <v>931.53700000000003</v>
      </c>
      <c r="Q20" s="24">
        <v>15.57661401864072</v>
      </c>
      <c r="R20" s="24">
        <v>965.48800000000006</v>
      </c>
      <c r="S20" s="24">
        <v>926.56</v>
      </c>
      <c r="T20" s="24">
        <v>923.76599999999996</v>
      </c>
      <c r="U20" s="24">
        <v>919.96400000000006</v>
      </c>
      <c r="V20" s="24">
        <v>4.1525862325428573</v>
      </c>
      <c r="W20" s="24">
        <v>0.94959844888069911</v>
      </c>
      <c r="X20" s="24">
        <v>2.2599999999999998</v>
      </c>
      <c r="Y20" s="24">
        <v>4.4166666667000003</v>
      </c>
      <c r="Z20" s="24">
        <v>4.9130434782999997</v>
      </c>
      <c r="AA20" s="24">
        <v>5.0212765956999998</v>
      </c>
      <c r="AB20" s="24">
        <v>914.01824999999997</v>
      </c>
      <c r="AC20" s="24">
        <v>23.799542022904578</v>
      </c>
      <c r="AD20" s="24">
        <v>965.48800000000006</v>
      </c>
      <c r="AE20" s="24">
        <v>908.44</v>
      </c>
      <c r="AF20" s="24">
        <v>899</v>
      </c>
      <c r="AG20" s="24">
        <v>894.35699999999997</v>
      </c>
    </row>
    <row r="21" spans="1:33">
      <c r="A21" s="66"/>
      <c r="B21" s="23" t="s">
        <v>32</v>
      </c>
      <c r="C21" s="23">
        <v>6</v>
      </c>
      <c r="D21" s="23">
        <v>6</v>
      </c>
      <c r="E21" s="33">
        <v>56</v>
      </c>
      <c r="F21" s="31">
        <v>9.3333333333333339</v>
      </c>
      <c r="G21" s="23" t="s">
        <v>77</v>
      </c>
      <c r="H21" s="27">
        <v>5</v>
      </c>
      <c r="I21" s="33">
        <v>9</v>
      </c>
      <c r="J21" s="24">
        <v>3.6887187660166671</v>
      </c>
      <c r="K21" s="24">
        <v>0.50682002418688166</v>
      </c>
      <c r="L21" s="24">
        <v>2.8571428570999999</v>
      </c>
      <c r="M21" s="24">
        <v>3.5227272727000001</v>
      </c>
      <c r="N21" s="24">
        <v>4.125</v>
      </c>
      <c r="O21" s="24">
        <v>4.2448979592000002</v>
      </c>
      <c r="P21" s="24">
        <v>928.2408333333334</v>
      </c>
      <c r="Q21" s="24">
        <v>11.61549603618659</v>
      </c>
      <c r="R21" s="24">
        <v>944.28599999999994</v>
      </c>
      <c r="S21" s="24">
        <v>934.35299999999995</v>
      </c>
      <c r="T21" s="24">
        <v>916.18799999999999</v>
      </c>
      <c r="U21" s="24">
        <v>914.82399999999996</v>
      </c>
      <c r="V21" s="24">
        <v>4.3498268872800008</v>
      </c>
      <c r="W21" s="24">
        <v>0.50710069938355928</v>
      </c>
      <c r="X21" s="24">
        <v>3.5102040816</v>
      </c>
      <c r="Y21" s="24">
        <v>4.5686274510000002</v>
      </c>
      <c r="Z21" s="24">
        <v>4.6862745097999996</v>
      </c>
      <c r="AA21" s="24">
        <v>4.7391304347999998</v>
      </c>
      <c r="AB21" s="24">
        <v>911.10519999999997</v>
      </c>
      <c r="AC21" s="24">
        <v>14.234442777994481</v>
      </c>
      <c r="AD21" s="24">
        <v>934.35299999999995</v>
      </c>
      <c r="AE21" s="24">
        <v>905.03300000000002</v>
      </c>
      <c r="AF21" s="24">
        <v>901.375</v>
      </c>
      <c r="AG21" s="24">
        <v>899.94100000000003</v>
      </c>
    </row>
    <row r="22" spans="1:33">
      <c r="A22" s="66"/>
      <c r="B22" s="23" t="s">
        <v>33</v>
      </c>
      <c r="C22" s="23">
        <v>8</v>
      </c>
      <c r="D22" s="23">
        <v>8</v>
      </c>
      <c r="E22" s="33">
        <v>70</v>
      </c>
      <c r="F22" s="31">
        <v>8.75</v>
      </c>
      <c r="G22" s="23" t="s">
        <v>77</v>
      </c>
      <c r="H22" s="27">
        <v>8</v>
      </c>
      <c r="I22" s="33">
        <v>14</v>
      </c>
      <c r="J22" s="24">
        <v>3.4308689901124998</v>
      </c>
      <c r="K22" s="24">
        <v>0.26754356938243939</v>
      </c>
      <c r="L22" s="24">
        <v>3</v>
      </c>
      <c r="M22" s="24">
        <v>3.5510204081999999</v>
      </c>
      <c r="N22" s="24">
        <v>3.6041666666999999</v>
      </c>
      <c r="O22" s="24">
        <v>3.6444444443999999</v>
      </c>
      <c r="P22" s="24">
        <v>935.93737499999997</v>
      </c>
      <c r="Q22" s="24">
        <v>6.9555697093870634</v>
      </c>
      <c r="R22" s="24">
        <v>948.25</v>
      </c>
      <c r="S22" s="24">
        <v>932.32399999999996</v>
      </c>
      <c r="T22" s="24">
        <v>931.63800000000003</v>
      </c>
      <c r="U22" s="24">
        <v>930.22299999999996</v>
      </c>
      <c r="V22" s="24">
        <v>3.936772859325</v>
      </c>
      <c r="W22" s="24">
        <v>0.27484643256450508</v>
      </c>
      <c r="X22" s="24">
        <v>3.6296296296000001</v>
      </c>
      <c r="Y22" s="24">
        <v>3.7142857142999999</v>
      </c>
      <c r="Z22" s="24">
        <v>4.1276595745</v>
      </c>
      <c r="AA22" s="24">
        <v>4.3061224490000001</v>
      </c>
      <c r="AB22" s="24">
        <v>922.75162499999999</v>
      </c>
      <c r="AC22" s="24">
        <v>7.0088306531831641</v>
      </c>
      <c r="AD22" s="24">
        <v>930.22299999999996</v>
      </c>
      <c r="AE22" s="24">
        <v>928.029</v>
      </c>
      <c r="AF22" s="24">
        <v>918.25</v>
      </c>
      <c r="AG22" s="24">
        <v>914.23500000000001</v>
      </c>
    </row>
    <row r="23" spans="1:33">
      <c r="A23" s="66"/>
      <c r="B23" s="23" t="s">
        <v>34</v>
      </c>
      <c r="C23" s="23">
        <v>14</v>
      </c>
      <c r="D23" s="23">
        <v>14</v>
      </c>
      <c r="E23" s="33">
        <v>73</v>
      </c>
      <c r="F23" s="31">
        <v>5.2142857142857144</v>
      </c>
      <c r="G23" s="23" t="s">
        <v>77</v>
      </c>
      <c r="H23" s="27">
        <v>12</v>
      </c>
      <c r="I23" s="33">
        <v>19</v>
      </c>
      <c r="J23" s="24">
        <v>3.9517204757857152</v>
      </c>
      <c r="K23" s="24">
        <v>0.25507712644125241</v>
      </c>
      <c r="L23" s="24">
        <v>3.4680851063999998</v>
      </c>
      <c r="M23" s="24">
        <v>3.9607843137000001</v>
      </c>
      <c r="N23" s="24">
        <v>4.2045454544999998</v>
      </c>
      <c r="O23" s="24">
        <v>4.3125</v>
      </c>
      <c r="P23" s="24">
        <v>921.50128571428581</v>
      </c>
      <c r="Q23" s="24">
        <v>6.3114826300173776</v>
      </c>
      <c r="R23" s="24">
        <v>935.68200000000002</v>
      </c>
      <c r="S23" s="24">
        <v>921.553</v>
      </c>
      <c r="T23" s="24">
        <v>916.6</v>
      </c>
      <c r="U23" s="24">
        <v>912.77599999999995</v>
      </c>
      <c r="V23" s="24">
        <v>4.4977666876000004</v>
      </c>
      <c r="W23" s="24">
        <v>0.48133376950590723</v>
      </c>
      <c r="X23" s="24">
        <v>3.5833333333000001</v>
      </c>
      <c r="Y23" s="24">
        <v>4.6521739130000004</v>
      </c>
      <c r="Z23" s="24">
        <v>4.8695652173999999</v>
      </c>
      <c r="AA23" s="24">
        <v>4.9333333333000002</v>
      </c>
      <c r="AB23" s="24">
        <v>906.67983333333348</v>
      </c>
      <c r="AC23" s="24">
        <v>12.310604976149151</v>
      </c>
      <c r="AD23" s="24">
        <v>928.404</v>
      </c>
      <c r="AE23" s="24">
        <v>901.12</v>
      </c>
      <c r="AF23" s="24">
        <v>897.34299999999996</v>
      </c>
      <c r="AG23" s="24">
        <v>895.06</v>
      </c>
    </row>
    <row r="24" spans="1:33">
      <c r="A24" s="66"/>
      <c r="B24" s="23" t="s">
        <v>35</v>
      </c>
      <c r="C24" s="23">
        <v>6</v>
      </c>
      <c r="D24" s="23">
        <v>5</v>
      </c>
      <c r="E24" s="33">
        <v>66</v>
      </c>
      <c r="F24" s="31">
        <v>13.2</v>
      </c>
      <c r="G24" s="23" t="s">
        <v>77</v>
      </c>
      <c r="H24" s="27">
        <v>5</v>
      </c>
      <c r="I24" s="33">
        <v>21</v>
      </c>
      <c r="J24" s="24">
        <v>3.2308208176800002</v>
      </c>
      <c r="K24" s="24">
        <v>0.40529011368868778</v>
      </c>
      <c r="L24" s="24">
        <v>2.7234042553000002</v>
      </c>
      <c r="M24" s="24">
        <v>3.2708333333000001</v>
      </c>
      <c r="N24" s="24">
        <v>3.6</v>
      </c>
      <c r="O24" s="24">
        <v>3.6382978722999999</v>
      </c>
      <c r="P24" s="24">
        <v>940.52640000000008</v>
      </c>
      <c r="Q24" s="24">
        <v>10.91889471512569</v>
      </c>
      <c r="R24" s="24">
        <v>955.36699999999996</v>
      </c>
      <c r="S24" s="24">
        <v>937.6</v>
      </c>
      <c r="T24" s="24">
        <v>931.71699999999998</v>
      </c>
      <c r="U24" s="24">
        <v>929.87300000000005</v>
      </c>
      <c r="V24" s="24">
        <v>4.0376650493599993</v>
      </c>
      <c r="W24" s="24">
        <v>0.30992462029609152</v>
      </c>
      <c r="X24" s="24">
        <v>3.6</v>
      </c>
      <c r="Y24" s="24">
        <v>3.9574468084999999</v>
      </c>
      <c r="Z24" s="24">
        <v>4.3265306122</v>
      </c>
      <c r="AA24" s="24">
        <v>4.3478260869999996</v>
      </c>
      <c r="AB24" s="24">
        <v>920.28080000000011</v>
      </c>
      <c r="AC24" s="24">
        <v>8.2343398460349952</v>
      </c>
      <c r="AD24" s="24">
        <v>931.71699999999998</v>
      </c>
      <c r="AE24" s="24">
        <v>921.60799999999995</v>
      </c>
      <c r="AF24" s="24">
        <v>912.83</v>
      </c>
      <c r="AG24" s="24">
        <v>911.74900000000002</v>
      </c>
    </row>
    <row r="25" spans="1:33">
      <c r="A25" s="65"/>
      <c r="B25" s="23" t="s">
        <v>36</v>
      </c>
      <c r="C25" s="23">
        <v>12</v>
      </c>
      <c r="D25" s="23">
        <v>12</v>
      </c>
      <c r="E25" s="33">
        <v>58</v>
      </c>
      <c r="F25" s="31">
        <v>4.833333333333333</v>
      </c>
      <c r="G25" s="23" t="s">
        <v>77</v>
      </c>
      <c r="H25" s="27">
        <v>12</v>
      </c>
      <c r="I25" s="33">
        <v>19</v>
      </c>
      <c r="J25" s="24">
        <v>4.1734385898583337</v>
      </c>
      <c r="K25" s="24">
        <v>0.63292660540953827</v>
      </c>
      <c r="L25" s="24">
        <v>2.3541666666999999</v>
      </c>
      <c r="M25" s="24">
        <v>4.3600000000000003</v>
      </c>
      <c r="N25" s="24">
        <v>4.5510204082000003</v>
      </c>
      <c r="O25" s="24">
        <v>4.5882352941000004</v>
      </c>
      <c r="P25" s="24">
        <v>915.38691666666671</v>
      </c>
      <c r="Q25" s="24">
        <v>16.236560235011339</v>
      </c>
      <c r="R25" s="24">
        <v>962.13800000000003</v>
      </c>
      <c r="S25" s="24">
        <v>910.03300000000002</v>
      </c>
      <c r="T25" s="24">
        <v>907.06399999999996</v>
      </c>
      <c r="U25" s="24">
        <v>905.2</v>
      </c>
      <c r="V25" s="24">
        <v>4.9263594401583326</v>
      </c>
      <c r="W25" s="24">
        <v>0.48668247243668361</v>
      </c>
      <c r="X25" s="24">
        <v>3.6382978722999999</v>
      </c>
      <c r="Y25" s="24">
        <v>5</v>
      </c>
      <c r="Z25" s="24">
        <v>5.1875</v>
      </c>
      <c r="AA25" s="24">
        <v>5.3809523810000002</v>
      </c>
      <c r="AB25" s="24">
        <v>894.49608333333333</v>
      </c>
      <c r="AC25" s="24">
        <v>12.521188394501779</v>
      </c>
      <c r="AD25" s="24">
        <v>929.90899999999999</v>
      </c>
      <c r="AE25" s="24">
        <v>891.17700000000002</v>
      </c>
      <c r="AF25" s="24">
        <v>887.86099999999999</v>
      </c>
      <c r="AG25" s="24">
        <v>883.64099999999996</v>
      </c>
    </row>
    <row r="26" spans="1:33">
      <c r="A26" s="64" t="s">
        <v>37</v>
      </c>
      <c r="B26" s="23" t="s">
        <v>38</v>
      </c>
      <c r="C26" s="23">
        <v>10</v>
      </c>
      <c r="D26" s="23">
        <v>10</v>
      </c>
      <c r="E26" s="33">
        <v>130</v>
      </c>
      <c r="F26" s="31">
        <v>13</v>
      </c>
      <c r="G26" s="23" t="s">
        <v>77</v>
      </c>
      <c r="H26" s="27">
        <v>9</v>
      </c>
      <c r="I26" s="33">
        <v>18</v>
      </c>
      <c r="J26" s="24">
        <v>2.9299706118</v>
      </c>
      <c r="K26" s="24">
        <v>0.35720091337052973</v>
      </c>
      <c r="L26" s="24">
        <v>2.1025641026000002</v>
      </c>
      <c r="M26" s="24">
        <v>3.0256410256000001</v>
      </c>
      <c r="N26" s="24">
        <v>3.1458333333000001</v>
      </c>
      <c r="O26" s="24">
        <v>3.28</v>
      </c>
      <c r="P26" s="24">
        <v>947.33220000000006</v>
      </c>
      <c r="Q26" s="24">
        <v>8.3564291656185397</v>
      </c>
      <c r="R26" s="24">
        <v>966.923</v>
      </c>
      <c r="S26" s="24">
        <v>946.18499999999995</v>
      </c>
      <c r="T26" s="24">
        <v>940.75</v>
      </c>
      <c r="U26" s="24">
        <v>939.53399999999999</v>
      </c>
      <c r="V26" s="24">
        <v>3.432532076533334</v>
      </c>
      <c r="W26" s="24">
        <v>0.48538326788871639</v>
      </c>
      <c r="X26" s="24">
        <v>2.5249999999999999</v>
      </c>
      <c r="Y26" s="24">
        <v>3.48</v>
      </c>
      <c r="Z26" s="24">
        <v>3.9111111110999999</v>
      </c>
      <c r="AA26" s="24">
        <v>3.9615384615</v>
      </c>
      <c r="AB26" s="24">
        <v>934.97166666666658</v>
      </c>
      <c r="AC26" s="24">
        <v>10.767158155706641</v>
      </c>
      <c r="AD26" s="24">
        <v>954.25</v>
      </c>
      <c r="AE26" s="24">
        <v>934.42899999999997</v>
      </c>
      <c r="AF26" s="24">
        <v>924.18200000000002</v>
      </c>
      <c r="AG26" s="24">
        <v>923</v>
      </c>
    </row>
    <row r="27" spans="1:33">
      <c r="A27" s="66"/>
      <c r="B27" s="23" t="s">
        <v>39</v>
      </c>
      <c r="C27" s="23">
        <v>34</v>
      </c>
      <c r="D27" s="23">
        <v>32</v>
      </c>
      <c r="E27" s="33">
        <v>240</v>
      </c>
      <c r="F27" s="31">
        <v>7.5</v>
      </c>
      <c r="G27" s="23" t="s">
        <v>77</v>
      </c>
      <c r="H27" s="27">
        <v>32</v>
      </c>
      <c r="I27" s="33">
        <v>50</v>
      </c>
      <c r="J27" s="24">
        <v>3.932427128</v>
      </c>
      <c r="K27" s="24">
        <v>0.64014349495484901</v>
      </c>
      <c r="L27" s="24">
        <v>1.7954545454999999</v>
      </c>
      <c r="M27" s="24">
        <v>4.1063829787000001</v>
      </c>
      <c r="N27" s="24">
        <v>4.4230769231</v>
      </c>
      <c r="O27" s="24">
        <v>4.5957446809000002</v>
      </c>
      <c r="P27" s="24">
        <v>919.23259374999998</v>
      </c>
      <c r="Q27" s="24">
        <v>12.628225747875851</v>
      </c>
      <c r="R27" s="24">
        <v>950.07500000000005</v>
      </c>
      <c r="S27" s="24">
        <v>914.88499999999999</v>
      </c>
      <c r="T27" s="24">
        <v>909.173</v>
      </c>
      <c r="U27" s="24">
        <v>906.28599999999994</v>
      </c>
      <c r="V27" s="24">
        <v>4.7379131544843753</v>
      </c>
      <c r="W27" s="24">
        <v>0.55904590258286646</v>
      </c>
      <c r="X27" s="24">
        <v>2.9215686275000001</v>
      </c>
      <c r="Y27" s="24">
        <v>4.8571428571000004</v>
      </c>
      <c r="Z27" s="24">
        <v>5.0833333332999997</v>
      </c>
      <c r="AA27" s="24">
        <v>5.3469387755</v>
      </c>
      <c r="AB27" s="24">
        <v>900.49403125000003</v>
      </c>
      <c r="AC27" s="24">
        <v>14.909448936149101</v>
      </c>
      <c r="AD27" s="24">
        <v>950.07500000000005</v>
      </c>
      <c r="AE27" s="24">
        <v>896.91</v>
      </c>
      <c r="AF27" s="24">
        <v>891.81600000000003</v>
      </c>
      <c r="AG27" s="24">
        <v>886.10699999999997</v>
      </c>
    </row>
    <row r="28" spans="1:33">
      <c r="A28" s="66"/>
      <c r="B28" s="23" t="s">
        <v>40</v>
      </c>
      <c r="C28" s="23">
        <v>9</v>
      </c>
      <c r="D28" s="23">
        <v>9</v>
      </c>
      <c r="E28" s="33">
        <v>74</v>
      </c>
      <c r="F28" s="31">
        <v>8.2222222222222214</v>
      </c>
      <c r="G28" s="23" t="s">
        <v>77</v>
      </c>
      <c r="H28" s="27">
        <v>9</v>
      </c>
      <c r="I28" s="33">
        <v>4</v>
      </c>
      <c r="J28" s="24">
        <v>3.352701946466667</v>
      </c>
      <c r="K28" s="24">
        <v>0.27092970947453898</v>
      </c>
      <c r="L28" s="24">
        <v>2.8409090908999999</v>
      </c>
      <c r="M28" s="24">
        <v>3.44</v>
      </c>
      <c r="N28" s="24">
        <v>3.5106382978999999</v>
      </c>
      <c r="O28" s="24">
        <v>3.6595744681000002</v>
      </c>
      <c r="P28" s="24">
        <v>937.52422222222231</v>
      </c>
      <c r="Q28" s="24">
        <v>7.5553684684762112</v>
      </c>
      <c r="R28" s="24">
        <v>951.65700000000004</v>
      </c>
      <c r="S28" s="24">
        <v>935.15499999999997</v>
      </c>
      <c r="T28" s="24">
        <v>932.05899999999997</v>
      </c>
      <c r="U28" s="24">
        <v>930.17499999999995</v>
      </c>
      <c r="V28" s="24">
        <v>3.516604528177778</v>
      </c>
      <c r="W28" s="24">
        <v>0.35455350035680361</v>
      </c>
      <c r="X28" s="24">
        <v>2.8409090908999999</v>
      </c>
      <c r="Y28" s="24">
        <v>3.6595744681000002</v>
      </c>
      <c r="Z28" s="24">
        <v>3.7234042553000002</v>
      </c>
      <c r="AA28" s="24">
        <v>3.8409090908999999</v>
      </c>
      <c r="AB28" s="24">
        <v>934.02988888888888</v>
      </c>
      <c r="AC28" s="24">
        <v>9.4344144948751918</v>
      </c>
      <c r="AD28" s="24">
        <v>951.65700000000004</v>
      </c>
      <c r="AE28" s="24">
        <v>930.17499999999995</v>
      </c>
      <c r="AF28" s="24">
        <v>928.71900000000005</v>
      </c>
      <c r="AG28" s="24">
        <v>926.053</v>
      </c>
    </row>
    <row r="29" spans="1:33">
      <c r="A29" s="66"/>
      <c r="B29" s="23" t="s">
        <v>41</v>
      </c>
      <c r="C29" s="23">
        <v>9</v>
      </c>
      <c r="D29" s="23">
        <v>9</v>
      </c>
      <c r="E29" s="33">
        <v>77</v>
      </c>
      <c r="F29" s="31">
        <v>8.5555555555555554</v>
      </c>
      <c r="G29" s="23" t="s">
        <v>77</v>
      </c>
      <c r="H29" s="27">
        <v>9</v>
      </c>
      <c r="I29" s="33">
        <v>6</v>
      </c>
      <c r="J29" s="24">
        <v>3.4322666792222218</v>
      </c>
      <c r="K29" s="24">
        <v>0.62125687697581</v>
      </c>
      <c r="L29" s="24">
        <v>2.3958333333000001</v>
      </c>
      <c r="M29" s="24">
        <v>3.7111111111000001</v>
      </c>
      <c r="N29" s="24">
        <v>3.8085106383</v>
      </c>
      <c r="O29" s="24">
        <v>4.0465116279000002</v>
      </c>
      <c r="P29" s="24">
        <v>935.2504444444445</v>
      </c>
      <c r="Q29" s="24">
        <v>14.78586134717141</v>
      </c>
      <c r="R29" s="24">
        <v>961.78</v>
      </c>
      <c r="S29" s="24">
        <v>927.56600000000003</v>
      </c>
      <c r="T29" s="24">
        <v>926.16300000000001</v>
      </c>
      <c r="U29" s="24">
        <v>921.4</v>
      </c>
      <c r="V29" s="24">
        <v>3.7277289855000002</v>
      </c>
      <c r="W29" s="24">
        <v>0.60285060748030572</v>
      </c>
      <c r="X29" s="24">
        <v>2.4047619048</v>
      </c>
      <c r="Y29" s="24">
        <v>3.8085106383</v>
      </c>
      <c r="Z29" s="24">
        <v>4.1063829787000001</v>
      </c>
      <c r="AA29" s="24">
        <v>4.375</v>
      </c>
      <c r="AB29" s="24">
        <v>927.39777777777772</v>
      </c>
      <c r="AC29" s="24">
        <v>14.346028803973731</v>
      </c>
      <c r="AD29" s="24">
        <v>957.85699999999997</v>
      </c>
      <c r="AE29" s="24">
        <v>926.16300000000001</v>
      </c>
      <c r="AF29" s="24">
        <v>917.096</v>
      </c>
      <c r="AG29" s="24">
        <v>912.52</v>
      </c>
    </row>
    <row r="30" spans="1:33">
      <c r="A30" s="66"/>
      <c r="B30" s="23" t="s">
        <v>42</v>
      </c>
      <c r="C30" s="23">
        <v>9</v>
      </c>
      <c r="D30" s="23">
        <v>9</v>
      </c>
      <c r="E30" s="33">
        <v>67</v>
      </c>
      <c r="F30" s="31">
        <v>7.4444444444444446</v>
      </c>
      <c r="G30" s="23" t="s">
        <v>77</v>
      </c>
      <c r="H30" s="27">
        <v>8</v>
      </c>
      <c r="I30" s="33">
        <v>14</v>
      </c>
      <c r="J30" s="24">
        <v>3.4815292377555549</v>
      </c>
      <c r="K30" s="24">
        <v>0.36941376269123799</v>
      </c>
      <c r="L30" s="24">
        <v>2.7058823528999998</v>
      </c>
      <c r="M30" s="24">
        <v>3.5625</v>
      </c>
      <c r="N30" s="24">
        <v>3.7346938775999998</v>
      </c>
      <c r="O30" s="24">
        <v>3.862745098</v>
      </c>
      <c r="P30" s="24">
        <v>934.14777777777772</v>
      </c>
      <c r="Q30" s="24">
        <v>9.1344946053103673</v>
      </c>
      <c r="R30" s="24">
        <v>952.827</v>
      </c>
      <c r="S30" s="24">
        <v>929.13800000000003</v>
      </c>
      <c r="T30" s="24">
        <v>928.58500000000004</v>
      </c>
      <c r="U30" s="24">
        <v>925.12300000000005</v>
      </c>
      <c r="V30" s="24">
        <v>4.2560567906499998</v>
      </c>
      <c r="W30" s="24">
        <v>0.33313261972368902</v>
      </c>
      <c r="X30" s="24">
        <v>3.5294117646999998</v>
      </c>
      <c r="Y30" s="24">
        <v>4.3478260869999996</v>
      </c>
      <c r="Z30" s="24">
        <v>4.4680851064000002</v>
      </c>
      <c r="AA30" s="24">
        <v>4.5333333332999999</v>
      </c>
      <c r="AB30" s="24">
        <v>913.176875</v>
      </c>
      <c r="AC30" s="24">
        <v>7.8266183801088092</v>
      </c>
      <c r="AD30" s="24">
        <v>928.70600000000002</v>
      </c>
      <c r="AE30" s="24">
        <v>911.36800000000005</v>
      </c>
      <c r="AF30" s="24">
        <v>908.08500000000004</v>
      </c>
      <c r="AG30" s="24">
        <v>906.625</v>
      </c>
    </row>
    <row r="31" spans="1:33">
      <c r="A31" s="65"/>
      <c r="B31" s="23" t="s">
        <v>43</v>
      </c>
      <c r="C31" s="23">
        <v>12</v>
      </c>
      <c r="D31" s="23">
        <v>12</v>
      </c>
      <c r="E31" s="33">
        <v>67</v>
      </c>
      <c r="F31" s="31">
        <v>5.583333333333333</v>
      </c>
      <c r="G31" s="23" t="s">
        <v>77</v>
      </c>
      <c r="H31" s="27">
        <v>12</v>
      </c>
      <c r="I31" s="33">
        <v>9</v>
      </c>
      <c r="J31" s="24">
        <v>4.1011952227545461</v>
      </c>
      <c r="K31" s="24">
        <v>0.37296155345997822</v>
      </c>
      <c r="L31" s="24">
        <v>3.3829787233999999</v>
      </c>
      <c r="M31" s="24">
        <v>4.1875</v>
      </c>
      <c r="N31" s="24">
        <v>4.4468085106000004</v>
      </c>
      <c r="O31" s="24">
        <v>4.4888888889</v>
      </c>
      <c r="P31" s="24">
        <v>917.40991666666662</v>
      </c>
      <c r="Q31" s="24">
        <v>9.7243375605963056</v>
      </c>
      <c r="R31" s="24">
        <v>936.20899999999995</v>
      </c>
      <c r="S31" s="24">
        <v>917.38</v>
      </c>
      <c r="T31" s="24">
        <v>910.06799999999998</v>
      </c>
      <c r="U31" s="24">
        <v>905.98</v>
      </c>
      <c r="V31" s="24">
        <v>4.5392997309166656</v>
      </c>
      <c r="W31" s="24">
        <v>0.38502243382391671</v>
      </c>
      <c r="X31" s="24">
        <v>3.7083333333000001</v>
      </c>
      <c r="Y31" s="24">
        <v>4.4761904762000002</v>
      </c>
      <c r="Z31" s="24">
        <v>4.7777777777999999</v>
      </c>
      <c r="AA31" s="24">
        <v>5.1395348836999997</v>
      </c>
      <c r="AB31" s="24">
        <v>905.60474999999997</v>
      </c>
      <c r="AC31" s="24">
        <v>10.57584242185076</v>
      </c>
      <c r="AD31" s="24">
        <v>927.4</v>
      </c>
      <c r="AE31" s="24">
        <v>905.98</v>
      </c>
      <c r="AF31" s="24">
        <v>897.06</v>
      </c>
      <c r="AG31" s="24">
        <v>890.47299999999996</v>
      </c>
    </row>
    <row r="32" spans="1:33" ht="33">
      <c r="A32" s="64" t="s">
        <v>44</v>
      </c>
      <c r="B32" s="22" t="s">
        <v>125</v>
      </c>
      <c r="C32" s="23">
        <v>40</v>
      </c>
      <c r="D32" s="23">
        <v>40</v>
      </c>
      <c r="E32" s="27">
        <v>279</v>
      </c>
      <c r="F32" s="31">
        <v>6.9749999999999996</v>
      </c>
      <c r="G32" s="23" t="s">
        <v>77</v>
      </c>
      <c r="H32" s="27">
        <v>38</v>
      </c>
      <c r="I32" s="33">
        <v>55</v>
      </c>
      <c r="J32" s="24">
        <v>3.4944937269473679</v>
      </c>
      <c r="K32" s="24">
        <v>0.49982081507867931</v>
      </c>
      <c r="L32" s="24">
        <v>2.1</v>
      </c>
      <c r="M32" s="24">
        <v>3.6666666666999999</v>
      </c>
      <c r="N32" s="24">
        <v>3.8333333333000001</v>
      </c>
      <c r="O32" s="24">
        <v>4.0416666667000003</v>
      </c>
      <c r="P32" s="24">
        <v>931.32390000000009</v>
      </c>
      <c r="Q32" s="24">
        <v>11.729227932271559</v>
      </c>
      <c r="R32" s="24">
        <v>967.3</v>
      </c>
      <c r="S32" s="24">
        <v>927.88800000000003</v>
      </c>
      <c r="T32" s="24">
        <v>923.16300000000001</v>
      </c>
      <c r="U32" s="24">
        <v>919.82500000000005</v>
      </c>
      <c r="V32" s="24">
        <v>3.996914711222856</v>
      </c>
      <c r="W32" s="24">
        <v>0.56894739961707397</v>
      </c>
      <c r="X32" s="24">
        <v>2.1</v>
      </c>
      <c r="Y32" s="24">
        <v>4.1428571428999996</v>
      </c>
      <c r="Z32" s="24">
        <v>4.4042553190999998</v>
      </c>
      <c r="AA32" s="24">
        <v>4.6216216216000001</v>
      </c>
      <c r="AB32" s="24">
        <v>919.40281578947349</v>
      </c>
      <c r="AC32" s="24">
        <v>14.17993911444875</v>
      </c>
      <c r="AD32" s="24">
        <v>967.3</v>
      </c>
      <c r="AE32" s="24">
        <v>918.43799999999999</v>
      </c>
      <c r="AF32" s="24">
        <v>908.03099999999995</v>
      </c>
      <c r="AG32" s="24">
        <v>905.13400000000001</v>
      </c>
    </row>
    <row r="33" spans="1:33" ht="49.5">
      <c r="A33" s="66"/>
      <c r="B33" s="22" t="s">
        <v>126</v>
      </c>
      <c r="C33" s="23">
        <v>49</v>
      </c>
      <c r="D33" s="23">
        <v>46</v>
      </c>
      <c r="E33" s="27">
        <v>232</v>
      </c>
      <c r="F33" s="31">
        <v>5.0434782608695654</v>
      </c>
      <c r="G33" s="23" t="s">
        <v>77</v>
      </c>
      <c r="H33" s="27">
        <v>43</v>
      </c>
      <c r="I33" s="33">
        <v>58</v>
      </c>
      <c r="J33" s="24">
        <v>4.1046445339954536</v>
      </c>
      <c r="K33" s="24">
        <v>0.44980784339680141</v>
      </c>
      <c r="L33" s="24">
        <v>3.0208333333000001</v>
      </c>
      <c r="M33" s="24">
        <v>4.2</v>
      </c>
      <c r="N33" s="24">
        <v>4.5111111111</v>
      </c>
      <c r="O33" s="24">
        <v>4.68</v>
      </c>
      <c r="P33" s="24">
        <v>917.24821739130448</v>
      </c>
      <c r="Q33" s="24">
        <v>11.791151213069419</v>
      </c>
      <c r="R33" s="24">
        <v>947.05799999999999</v>
      </c>
      <c r="S33" s="24">
        <v>915</v>
      </c>
      <c r="T33" s="24">
        <v>906.73400000000004</v>
      </c>
      <c r="U33" s="24">
        <v>903.98</v>
      </c>
      <c r="V33" s="24">
        <v>4.6685934812487799</v>
      </c>
      <c r="W33" s="24">
        <v>0.40311835041216248</v>
      </c>
      <c r="X33" s="24">
        <v>3.3043478260999999</v>
      </c>
      <c r="Y33" s="24">
        <v>4.7391304347999998</v>
      </c>
      <c r="Z33" s="24">
        <v>4.9347826087</v>
      </c>
      <c r="AA33" s="24">
        <v>5.2115384615</v>
      </c>
      <c r="AB33" s="24">
        <v>902.26590697674419</v>
      </c>
      <c r="AC33" s="24">
        <v>11.01586512136441</v>
      </c>
      <c r="AD33" s="24">
        <v>940.375</v>
      </c>
      <c r="AE33" s="24">
        <v>898.34500000000003</v>
      </c>
      <c r="AF33" s="24">
        <v>894.80399999999997</v>
      </c>
      <c r="AG33" s="24">
        <v>890.12</v>
      </c>
    </row>
    <row r="34" spans="1:33" ht="33">
      <c r="A34" s="65"/>
      <c r="B34" s="22" t="s">
        <v>127</v>
      </c>
      <c r="C34" s="23">
        <v>25</v>
      </c>
      <c r="D34" s="23">
        <v>25</v>
      </c>
      <c r="E34" s="27">
        <v>180</v>
      </c>
      <c r="F34" s="31">
        <v>7.2</v>
      </c>
      <c r="G34" s="23" t="s">
        <v>77</v>
      </c>
      <c r="H34" s="27">
        <v>25</v>
      </c>
      <c r="I34" s="33">
        <v>32</v>
      </c>
      <c r="J34" s="24">
        <v>3.6528308190600001</v>
      </c>
      <c r="K34" s="24">
        <v>0.51727445382155091</v>
      </c>
      <c r="L34" s="24">
        <v>1.8857142857</v>
      </c>
      <c r="M34" s="24">
        <v>3.8235294118000001</v>
      </c>
      <c r="N34" s="24">
        <v>3.94</v>
      </c>
      <c r="O34" s="24">
        <v>4.1428571428999996</v>
      </c>
      <c r="P34" s="24">
        <v>928.1682800000001</v>
      </c>
      <c r="Q34" s="24">
        <v>13.39450262396231</v>
      </c>
      <c r="R34" s="24">
        <v>973.42899999999997</v>
      </c>
      <c r="S34" s="24">
        <v>923.56500000000005</v>
      </c>
      <c r="T34" s="24">
        <v>920.16300000000001</v>
      </c>
      <c r="U34" s="24">
        <v>915.471</v>
      </c>
      <c r="V34" s="24">
        <v>4.1887963776400001</v>
      </c>
      <c r="W34" s="24">
        <v>0.40163119328036911</v>
      </c>
      <c r="X34" s="24">
        <v>3.0930232557999999</v>
      </c>
      <c r="Y34" s="24">
        <v>4.2340425532000001</v>
      </c>
      <c r="Z34" s="24">
        <v>4.5</v>
      </c>
      <c r="AA34" s="24">
        <v>4.7674418605</v>
      </c>
      <c r="AB34" s="24">
        <v>914.8760400000001</v>
      </c>
      <c r="AC34" s="24">
        <v>10.157118015132721</v>
      </c>
      <c r="AD34" s="24">
        <v>943.48800000000006</v>
      </c>
      <c r="AE34" s="24">
        <v>914.745</v>
      </c>
      <c r="AF34" s="24">
        <v>906.48</v>
      </c>
      <c r="AG34" s="24">
        <v>902.05</v>
      </c>
    </row>
    <row r="35" spans="1:33">
      <c r="A35" s="64" t="s">
        <v>45</v>
      </c>
      <c r="B35" s="23" t="s">
        <v>46</v>
      </c>
      <c r="C35" s="23">
        <v>10</v>
      </c>
      <c r="D35" s="23">
        <v>12</v>
      </c>
      <c r="E35" s="33">
        <v>46</v>
      </c>
      <c r="F35" s="31">
        <v>3.8333333333333335</v>
      </c>
      <c r="G35" s="23" t="s">
        <v>77</v>
      </c>
      <c r="H35" s="27">
        <v>12</v>
      </c>
      <c r="I35" s="33">
        <v>22</v>
      </c>
      <c r="J35" s="24">
        <v>3.7389336482909079</v>
      </c>
      <c r="K35" s="24">
        <v>0.5371631810708829</v>
      </c>
      <c r="L35" s="24">
        <v>2.5</v>
      </c>
      <c r="M35" s="24">
        <v>3.9361702128</v>
      </c>
      <c r="N35" s="24">
        <v>4.2</v>
      </c>
      <c r="O35" s="24">
        <v>4.3111111110999998</v>
      </c>
      <c r="P35" s="24">
        <v>926.98750000000007</v>
      </c>
      <c r="Q35" s="24">
        <v>12.81002609109543</v>
      </c>
      <c r="R35" s="24">
        <v>955</v>
      </c>
      <c r="S35" s="24">
        <v>923.95899999999995</v>
      </c>
      <c r="T35" s="24">
        <v>919.596</v>
      </c>
      <c r="U35" s="24">
        <v>912.10599999999999</v>
      </c>
      <c r="V35" s="24">
        <v>4.7237825387000001</v>
      </c>
      <c r="W35" s="24">
        <v>0.63032863484767632</v>
      </c>
      <c r="X35" s="24">
        <v>3.9361702128</v>
      </c>
      <c r="Y35" s="24">
        <v>4.5416666667000003</v>
      </c>
      <c r="Z35" s="24">
        <v>4.9756097560999999</v>
      </c>
      <c r="AA35" s="24">
        <v>5.74</v>
      </c>
      <c r="AB35" s="24">
        <v>900.5612500000002</v>
      </c>
      <c r="AC35" s="24">
        <v>16.576218200811329</v>
      </c>
      <c r="AD35" s="24">
        <v>923.95899999999995</v>
      </c>
      <c r="AE35" s="24">
        <v>900.94</v>
      </c>
      <c r="AF35" s="24">
        <v>896.03599999999994</v>
      </c>
      <c r="AG35" s="24">
        <v>873.19200000000001</v>
      </c>
    </row>
    <row r="36" spans="1:33">
      <c r="A36" s="66"/>
      <c r="B36" s="33" t="s">
        <v>47</v>
      </c>
      <c r="C36" s="33">
        <v>6</v>
      </c>
      <c r="D36" s="33">
        <v>2</v>
      </c>
      <c r="E36" s="33">
        <v>5</v>
      </c>
      <c r="F36" s="31">
        <v>2.5</v>
      </c>
      <c r="G36" s="33" t="s">
        <v>77</v>
      </c>
      <c r="H36" s="33">
        <v>0</v>
      </c>
      <c r="I36" s="33">
        <v>0</v>
      </c>
      <c r="J36" s="24">
        <v>2.4081632652999998</v>
      </c>
      <c r="K36" s="24"/>
      <c r="L36" s="24">
        <v>2.4081632652999998</v>
      </c>
      <c r="M36" s="24">
        <v>2.4081632652999998</v>
      </c>
      <c r="N36" s="24">
        <v>2.4081632652999998</v>
      </c>
      <c r="O36" s="24">
        <v>2.4081632652999998</v>
      </c>
      <c r="P36" s="24">
        <v>939.96050000000002</v>
      </c>
      <c r="Q36" s="24">
        <v>29.642623374121289</v>
      </c>
      <c r="R36" s="24">
        <v>960.92100000000005</v>
      </c>
      <c r="S36" s="24">
        <v>960.92100000000005</v>
      </c>
      <c r="T36" s="24">
        <v>919</v>
      </c>
      <c r="U36" s="24">
        <v>919</v>
      </c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</row>
    <row r="37" spans="1:33">
      <c r="A37" s="65"/>
      <c r="B37" s="23" t="s">
        <v>48</v>
      </c>
      <c r="C37" s="23">
        <v>7</v>
      </c>
      <c r="D37" s="23">
        <v>7</v>
      </c>
      <c r="E37" s="33">
        <v>106</v>
      </c>
      <c r="F37" s="31">
        <v>15.142857142857142</v>
      </c>
      <c r="G37" s="23" t="s">
        <v>77</v>
      </c>
      <c r="H37" s="27">
        <v>7</v>
      </c>
      <c r="I37" s="33">
        <v>8</v>
      </c>
      <c r="J37" s="24">
        <v>3.226456658914286</v>
      </c>
      <c r="K37" s="24">
        <v>0.33266855862987221</v>
      </c>
      <c r="L37" s="24">
        <v>2.625</v>
      </c>
      <c r="M37" s="24">
        <v>3.2666666666999999</v>
      </c>
      <c r="N37" s="24">
        <v>3.4883720930000002</v>
      </c>
      <c r="O37" s="24">
        <v>3.6521739129999999</v>
      </c>
      <c r="P37" s="24">
        <v>937.5972857142857</v>
      </c>
      <c r="Q37" s="24">
        <v>7.103797991550854</v>
      </c>
      <c r="R37" s="24">
        <v>951.25</v>
      </c>
      <c r="S37" s="24">
        <v>938.42100000000005</v>
      </c>
      <c r="T37" s="24">
        <v>930.51800000000003</v>
      </c>
      <c r="U37" s="24">
        <v>929.81399999999996</v>
      </c>
      <c r="V37" s="24">
        <v>3.6359193902714289</v>
      </c>
      <c r="W37" s="24">
        <v>0.35572716626923628</v>
      </c>
      <c r="X37" s="24">
        <v>3.0526315788999998</v>
      </c>
      <c r="Y37" s="24">
        <v>3.7659574467999999</v>
      </c>
      <c r="Z37" s="24">
        <v>3.9607843137000001</v>
      </c>
      <c r="AA37" s="24">
        <v>4.0476190475999996</v>
      </c>
      <c r="AB37" s="24">
        <v>928.94528571428566</v>
      </c>
      <c r="AC37" s="24">
        <v>7.516462991644544</v>
      </c>
      <c r="AD37" s="24">
        <v>938.70799999999997</v>
      </c>
      <c r="AE37" s="24">
        <v>927.822</v>
      </c>
      <c r="AF37" s="24">
        <v>920.40899999999999</v>
      </c>
      <c r="AG37" s="24">
        <v>920.22699999999998</v>
      </c>
    </row>
    <row r="38" spans="1:33">
      <c r="A38" s="23" t="s">
        <v>49</v>
      </c>
      <c r="B38" s="23" t="s">
        <v>50</v>
      </c>
      <c r="C38" s="23">
        <v>5</v>
      </c>
      <c r="D38" s="23">
        <v>5</v>
      </c>
      <c r="E38" s="33">
        <v>119</v>
      </c>
      <c r="F38" s="31">
        <v>23.8</v>
      </c>
      <c r="G38" s="23" t="s">
        <v>77</v>
      </c>
      <c r="H38" s="27">
        <v>5</v>
      </c>
      <c r="I38" s="33">
        <v>25</v>
      </c>
      <c r="J38" s="24">
        <v>2.65757073846</v>
      </c>
      <c r="K38" s="24">
        <v>0.36540873257945988</v>
      </c>
      <c r="L38" s="24">
        <v>2.1428571429000001</v>
      </c>
      <c r="M38" s="24">
        <v>2.7608695652000002</v>
      </c>
      <c r="N38" s="24">
        <v>2.9555555556000002</v>
      </c>
      <c r="O38" s="24">
        <v>3</v>
      </c>
      <c r="P38" s="24">
        <v>956.5612000000001</v>
      </c>
      <c r="Q38" s="24">
        <v>9.1490959225488684</v>
      </c>
      <c r="R38" s="24">
        <v>969.14300000000003</v>
      </c>
      <c r="S38" s="24">
        <v>953.43799999999999</v>
      </c>
      <c r="T38" s="24">
        <v>949.20699999999999</v>
      </c>
      <c r="U38" s="24">
        <v>948.077</v>
      </c>
      <c r="V38" s="24">
        <v>3.1733743884400001</v>
      </c>
      <c r="W38" s="24">
        <v>0.21104127222106581</v>
      </c>
      <c r="X38" s="24">
        <v>2.9574468084999999</v>
      </c>
      <c r="Y38" s="24">
        <v>3.1458333333000001</v>
      </c>
      <c r="Z38" s="24">
        <v>3.2083333333000001</v>
      </c>
      <c r="AA38" s="24">
        <v>3.5098039216000001</v>
      </c>
      <c r="AB38" s="24">
        <v>941.11500000000001</v>
      </c>
      <c r="AC38" s="24">
        <v>7.567378013552621</v>
      </c>
      <c r="AD38" s="24">
        <v>947.18799999999999</v>
      </c>
      <c r="AE38" s="24">
        <v>944.38</v>
      </c>
      <c r="AF38" s="24">
        <v>937.04100000000005</v>
      </c>
      <c r="AG38" s="24">
        <v>929.79200000000003</v>
      </c>
    </row>
    <row r="39" spans="1:33">
      <c r="A39" s="23" t="s">
        <v>111</v>
      </c>
      <c r="B39" s="23" t="s">
        <v>62</v>
      </c>
      <c r="C39" s="23">
        <v>33</v>
      </c>
      <c r="D39" s="23">
        <v>56</v>
      </c>
      <c r="E39" s="33">
        <v>553</v>
      </c>
      <c r="F39" s="31">
        <v>9.875</v>
      </c>
      <c r="G39" s="23" t="s">
        <v>77</v>
      </c>
      <c r="H39" s="27">
        <v>50</v>
      </c>
      <c r="I39" s="33">
        <v>89</v>
      </c>
      <c r="J39" s="24">
        <v>3.8003262262410722</v>
      </c>
      <c r="K39" s="24">
        <v>0.26873149805224672</v>
      </c>
      <c r="L39" s="24">
        <v>2.6222222222</v>
      </c>
      <c r="M39" s="24">
        <v>3.8604651162999999</v>
      </c>
      <c r="N39" s="24">
        <v>4</v>
      </c>
      <c r="O39" s="24">
        <v>4.1086956521999998</v>
      </c>
      <c r="P39" s="24">
        <v>925.49319642857142</v>
      </c>
      <c r="Q39" s="24">
        <v>5.5066704192432612</v>
      </c>
      <c r="R39" s="24">
        <v>939.88699999999994</v>
      </c>
      <c r="S39" s="24">
        <v>923.65</v>
      </c>
      <c r="T39" s="24">
        <v>921.71100000000001</v>
      </c>
      <c r="U39" s="24">
        <v>919.28399999999999</v>
      </c>
      <c r="V39" s="24">
        <v>4.1260595185180007</v>
      </c>
      <c r="W39" s="24">
        <v>0.30595960123637389</v>
      </c>
      <c r="X39" s="24">
        <v>3.3829787233999999</v>
      </c>
      <c r="Y39" s="24">
        <v>4.0952380952</v>
      </c>
      <c r="Z39" s="24">
        <v>4.4255319148999996</v>
      </c>
      <c r="AA39" s="24">
        <v>4.5681818182000002</v>
      </c>
      <c r="AB39" s="24">
        <v>917.34823999999992</v>
      </c>
      <c r="AC39" s="24">
        <v>7.7133606946992099</v>
      </c>
      <c r="AD39" s="24">
        <v>937.38300000000004</v>
      </c>
      <c r="AE39" s="24">
        <v>917.80499999999995</v>
      </c>
      <c r="AF39" s="24">
        <v>910.15</v>
      </c>
      <c r="AG39" s="24">
        <v>907.23</v>
      </c>
    </row>
    <row r="40" spans="1:33">
      <c r="A40" s="64" t="s">
        <v>51</v>
      </c>
      <c r="B40" s="23" t="s">
        <v>52</v>
      </c>
      <c r="C40" s="23">
        <v>18</v>
      </c>
      <c r="D40" s="23">
        <v>18</v>
      </c>
      <c r="E40" s="33">
        <v>211</v>
      </c>
      <c r="F40" s="31">
        <v>11.722222222222221</v>
      </c>
      <c r="G40" s="23" t="s">
        <v>77</v>
      </c>
      <c r="H40" s="27">
        <v>16</v>
      </c>
      <c r="I40" s="33">
        <v>41</v>
      </c>
      <c r="J40" s="24">
        <v>3.413813810872222</v>
      </c>
      <c r="K40" s="24">
        <v>0.26972329306213583</v>
      </c>
      <c r="L40" s="24">
        <v>2.6382978722999999</v>
      </c>
      <c r="M40" s="24">
        <v>3.4615384615</v>
      </c>
      <c r="N40" s="24">
        <v>3.6</v>
      </c>
      <c r="O40" s="24">
        <v>3.7358490566000002</v>
      </c>
      <c r="P40" s="24">
        <v>936.56305555555571</v>
      </c>
      <c r="Q40" s="24">
        <v>6.6028105109711328</v>
      </c>
      <c r="R40" s="24">
        <v>957.57100000000003</v>
      </c>
      <c r="S40" s="24">
        <v>936.08199999999999</v>
      </c>
      <c r="T40" s="24">
        <v>932.5</v>
      </c>
      <c r="U40" s="24">
        <v>928.81799999999998</v>
      </c>
      <c r="V40" s="24">
        <v>3.9296901775799991</v>
      </c>
      <c r="W40" s="24">
        <v>0.36364980661057522</v>
      </c>
      <c r="X40" s="24">
        <v>3.0243902439000001</v>
      </c>
      <c r="Y40" s="24">
        <v>4.0652173913</v>
      </c>
      <c r="Z40" s="24">
        <v>4.1956521739000001</v>
      </c>
      <c r="AA40" s="24">
        <v>4.3617021277000001</v>
      </c>
      <c r="AB40" s="24">
        <v>922.29599999999994</v>
      </c>
      <c r="AC40" s="24">
        <v>8.5310696164080291</v>
      </c>
      <c r="AD40" s="24">
        <v>939.26800000000003</v>
      </c>
      <c r="AE40" s="24">
        <v>919.995</v>
      </c>
      <c r="AF40" s="24">
        <v>916.35299999999995</v>
      </c>
      <c r="AG40" s="24">
        <v>911</v>
      </c>
    </row>
    <row r="41" spans="1:33">
      <c r="A41" s="66"/>
      <c r="B41" s="23" t="s">
        <v>53</v>
      </c>
      <c r="C41" s="23">
        <v>30</v>
      </c>
      <c r="D41" s="23">
        <v>30</v>
      </c>
      <c r="E41" s="33">
        <v>292</v>
      </c>
      <c r="F41" s="31">
        <v>9.7333333333333325</v>
      </c>
      <c r="G41" s="23" t="s">
        <v>77</v>
      </c>
      <c r="H41" s="27">
        <v>29</v>
      </c>
      <c r="I41" s="33">
        <v>43</v>
      </c>
      <c r="J41" s="24">
        <v>2.0976196694166669</v>
      </c>
      <c r="K41" s="24">
        <v>0.23752788018413151</v>
      </c>
      <c r="L41" s="24">
        <v>1.3636363636</v>
      </c>
      <c r="M41" s="24">
        <v>2.12</v>
      </c>
      <c r="N41" s="24">
        <v>2.2444444444</v>
      </c>
      <c r="O41" s="24">
        <v>2.3913043477999998</v>
      </c>
      <c r="P41" s="24">
        <v>970.69479999999987</v>
      </c>
      <c r="Q41" s="24">
        <v>5.995751544161104</v>
      </c>
      <c r="R41" s="24">
        <v>989.09100000000001</v>
      </c>
      <c r="S41" s="24">
        <v>969.68799999999999</v>
      </c>
      <c r="T41" s="24">
        <v>966.06</v>
      </c>
      <c r="U41" s="24">
        <v>963.89800000000002</v>
      </c>
      <c r="V41" s="24">
        <v>2.3811649404000002</v>
      </c>
      <c r="W41" s="24">
        <v>0.27653914437922311</v>
      </c>
      <c r="X41" s="24">
        <v>1.3636363636</v>
      </c>
      <c r="Y41" s="24">
        <v>2.4761904762000002</v>
      </c>
      <c r="Z41" s="24">
        <v>2.5416666666999999</v>
      </c>
      <c r="AA41" s="24">
        <v>2.6382978722999999</v>
      </c>
      <c r="AB41" s="24">
        <v>963.53831034482766</v>
      </c>
      <c r="AC41" s="24">
        <v>6.8632171553634249</v>
      </c>
      <c r="AD41" s="24">
        <v>989.09100000000001</v>
      </c>
      <c r="AE41" s="24">
        <v>960.89200000000005</v>
      </c>
      <c r="AF41" s="24">
        <v>959.03399999999999</v>
      </c>
      <c r="AG41" s="24">
        <v>957.57100000000003</v>
      </c>
    </row>
    <row r="42" spans="1:33">
      <c r="A42" s="66"/>
      <c r="B42" s="23" t="s">
        <v>54</v>
      </c>
      <c r="C42" s="23">
        <v>11</v>
      </c>
      <c r="D42" s="23">
        <v>12</v>
      </c>
      <c r="E42" s="33">
        <v>235</v>
      </c>
      <c r="F42" s="31">
        <v>19.583333333333332</v>
      </c>
      <c r="G42" s="23" t="s">
        <v>77</v>
      </c>
      <c r="H42" s="27">
        <v>12</v>
      </c>
      <c r="I42" s="33">
        <v>17</v>
      </c>
      <c r="J42" s="24">
        <v>3.1250108622249999</v>
      </c>
      <c r="K42" s="24">
        <v>0.32681645808455029</v>
      </c>
      <c r="L42" s="24">
        <v>2.5</v>
      </c>
      <c r="M42" s="24">
        <v>3.12</v>
      </c>
      <c r="N42" s="24">
        <v>3.3333333333000001</v>
      </c>
      <c r="O42" s="24">
        <v>3.5106382978999999</v>
      </c>
      <c r="P42" s="24">
        <v>943.60716666666656</v>
      </c>
      <c r="Q42" s="24">
        <v>7.7236849876130274</v>
      </c>
      <c r="R42" s="24">
        <v>961.12</v>
      </c>
      <c r="S42" s="24">
        <v>943.16200000000003</v>
      </c>
      <c r="T42" s="24">
        <v>939.52</v>
      </c>
      <c r="U42" s="24">
        <v>934.77099999999996</v>
      </c>
      <c r="V42" s="24">
        <v>3.3693067669749999</v>
      </c>
      <c r="W42" s="24">
        <v>0.4240940847275475</v>
      </c>
      <c r="X42" s="24">
        <v>2.5</v>
      </c>
      <c r="Y42" s="24">
        <v>3.4791666666999999</v>
      </c>
      <c r="Z42" s="24">
        <v>3.6595744681000002</v>
      </c>
      <c r="AA42" s="24">
        <v>3.8478260870000001</v>
      </c>
      <c r="AB42" s="24">
        <v>936.47958333333338</v>
      </c>
      <c r="AC42" s="24">
        <v>10.432186038308521</v>
      </c>
      <c r="AD42" s="24">
        <v>961.12</v>
      </c>
      <c r="AE42" s="24">
        <v>932.83399999999995</v>
      </c>
      <c r="AF42" s="24">
        <v>929.58399999999995</v>
      </c>
      <c r="AG42" s="24">
        <v>926.31299999999999</v>
      </c>
    </row>
    <row r="43" spans="1:33">
      <c r="A43" s="66"/>
      <c r="B43" s="23" t="s">
        <v>55</v>
      </c>
      <c r="C43" s="23">
        <v>9</v>
      </c>
      <c r="D43" s="23">
        <v>9</v>
      </c>
      <c r="E43" s="33">
        <v>197</v>
      </c>
      <c r="F43" s="31">
        <v>21.888888888888889</v>
      </c>
      <c r="G43" s="23" t="s">
        <v>77</v>
      </c>
      <c r="H43" s="27">
        <v>7</v>
      </c>
      <c r="I43" s="33">
        <v>7</v>
      </c>
      <c r="J43" s="24">
        <v>3.9342238706888879</v>
      </c>
      <c r="K43" s="24">
        <v>0.81684234386246946</v>
      </c>
      <c r="L43" s="24">
        <v>1.7857142856999999</v>
      </c>
      <c r="M43" s="24">
        <v>4.1777777778000003</v>
      </c>
      <c r="N43" s="24">
        <v>4.2391304347999998</v>
      </c>
      <c r="O43" s="24">
        <v>4.5</v>
      </c>
      <c r="P43" s="24">
        <v>918.29133333333345</v>
      </c>
      <c r="Q43" s="24">
        <v>9.6160911497343946</v>
      </c>
      <c r="R43" s="24">
        <v>942.14300000000003</v>
      </c>
      <c r="S43" s="24">
        <v>916.18799999999999</v>
      </c>
      <c r="T43" s="24">
        <v>913.46500000000003</v>
      </c>
      <c r="U43" s="24">
        <v>909.19799999999998</v>
      </c>
      <c r="V43" s="24">
        <v>4.3542453311428568</v>
      </c>
      <c r="W43" s="24">
        <v>0.21106652473449861</v>
      </c>
      <c r="X43" s="24">
        <v>4</v>
      </c>
      <c r="Y43" s="24">
        <v>4.3617021277000001</v>
      </c>
      <c r="Z43" s="24">
        <v>4.5882352941000004</v>
      </c>
      <c r="AA43" s="24">
        <v>4.6078431372999997</v>
      </c>
      <c r="AB43" s="24">
        <v>910.69085714285723</v>
      </c>
      <c r="AC43" s="24">
        <v>6.2225360700326302</v>
      </c>
      <c r="AD43" s="24">
        <v>922.375</v>
      </c>
      <c r="AE43" s="24">
        <v>907.75</v>
      </c>
      <c r="AF43" s="24">
        <v>906.774</v>
      </c>
      <c r="AG43" s="24">
        <v>906.26400000000001</v>
      </c>
    </row>
    <row r="44" spans="1:33">
      <c r="A44" s="65"/>
      <c r="B44" s="23" t="s">
        <v>56</v>
      </c>
      <c r="C44" s="23">
        <v>8</v>
      </c>
      <c r="D44" s="23">
        <v>8</v>
      </c>
      <c r="E44" s="33">
        <v>188</v>
      </c>
      <c r="F44" s="31">
        <v>23.5</v>
      </c>
      <c r="G44" s="23" t="s">
        <v>77</v>
      </c>
      <c r="H44" s="27">
        <v>8</v>
      </c>
      <c r="I44" s="33">
        <v>23</v>
      </c>
      <c r="J44" s="24">
        <v>2.8491129016375001</v>
      </c>
      <c r="K44" s="24">
        <v>0.39028993155148162</v>
      </c>
      <c r="L44" s="24">
        <v>2.0416666666999999</v>
      </c>
      <c r="M44" s="24">
        <v>3</v>
      </c>
      <c r="N44" s="24">
        <v>3.125</v>
      </c>
      <c r="O44" s="24">
        <v>3.1702127660000001</v>
      </c>
      <c r="P44" s="24">
        <v>949.56999999999994</v>
      </c>
      <c r="Q44" s="24">
        <v>7.6756429046692682</v>
      </c>
      <c r="R44" s="24">
        <v>966.82399999999996</v>
      </c>
      <c r="S44" s="24">
        <v>947.65300000000002</v>
      </c>
      <c r="T44" s="24">
        <v>944.92</v>
      </c>
      <c r="U44" s="24">
        <v>943.79600000000005</v>
      </c>
      <c r="V44" s="24">
        <v>3.6182079006375001</v>
      </c>
      <c r="W44" s="24">
        <v>0.27246241562321549</v>
      </c>
      <c r="X44" s="24">
        <v>3</v>
      </c>
      <c r="Y44" s="24">
        <v>3.7272727272999999</v>
      </c>
      <c r="Z44" s="24">
        <v>3.7619047618999999</v>
      </c>
      <c r="AA44" s="24">
        <v>3.8367346939</v>
      </c>
      <c r="AB44" s="24">
        <v>931.37475000000006</v>
      </c>
      <c r="AC44" s="24">
        <v>6.8298557974737513</v>
      </c>
      <c r="AD44" s="24">
        <v>946.75</v>
      </c>
      <c r="AE44" s="24">
        <v>929</v>
      </c>
      <c r="AF44" s="24">
        <v>927.69299999999998</v>
      </c>
      <c r="AG44" s="24">
        <v>925.35299999999995</v>
      </c>
    </row>
    <row r="45" spans="1:33">
      <c r="A45" s="64" t="s">
        <v>57</v>
      </c>
      <c r="B45" s="23" t="s">
        <v>58</v>
      </c>
      <c r="C45" s="23">
        <v>10</v>
      </c>
      <c r="D45" s="23">
        <v>10</v>
      </c>
      <c r="E45" s="33">
        <v>132</v>
      </c>
      <c r="F45" s="31">
        <v>13.2</v>
      </c>
      <c r="G45" s="23" t="s">
        <v>77</v>
      </c>
      <c r="H45" s="27">
        <v>10</v>
      </c>
      <c r="I45" s="33">
        <v>8</v>
      </c>
      <c r="J45" s="24">
        <v>3.4883279580899988</v>
      </c>
      <c r="K45" s="24">
        <v>0.59749610919972607</v>
      </c>
      <c r="L45" s="24">
        <v>2.1428571429000001</v>
      </c>
      <c r="M45" s="24">
        <v>3.5777777778000002</v>
      </c>
      <c r="N45" s="24">
        <v>3.9166666666999999</v>
      </c>
      <c r="O45" s="24">
        <v>3.9166666666999999</v>
      </c>
      <c r="P45" s="24">
        <v>929.09010000000001</v>
      </c>
      <c r="Q45" s="24">
        <v>8.1240412145406768</v>
      </c>
      <c r="R45" s="24">
        <v>944.31299999999999</v>
      </c>
      <c r="S45" s="24">
        <v>924.68100000000004</v>
      </c>
      <c r="T45" s="24">
        <v>923.69399999999996</v>
      </c>
      <c r="U45" s="24">
        <v>920.60699999999997</v>
      </c>
      <c r="V45" s="24">
        <v>3.7141748003699999</v>
      </c>
      <c r="W45" s="24">
        <v>0.67877071079898121</v>
      </c>
      <c r="X45" s="24">
        <v>2.1428571429000001</v>
      </c>
      <c r="Y45" s="24">
        <v>3.9166666666999999</v>
      </c>
      <c r="Z45" s="24">
        <v>4.1086956521999998</v>
      </c>
      <c r="AA45" s="24">
        <v>4.1521739130000004</v>
      </c>
      <c r="AB45" s="24">
        <v>923.8777</v>
      </c>
      <c r="AC45" s="24">
        <v>8.4455052746679744</v>
      </c>
      <c r="AD45" s="24">
        <v>944.31299999999999</v>
      </c>
      <c r="AE45" s="24">
        <v>920.60699999999997</v>
      </c>
      <c r="AF45" s="24">
        <v>919.56299999999999</v>
      </c>
      <c r="AG45" s="24">
        <v>916</v>
      </c>
    </row>
    <row r="46" spans="1:33">
      <c r="A46" s="66"/>
      <c r="B46" s="23" t="s">
        <v>59</v>
      </c>
      <c r="C46" s="23">
        <v>11</v>
      </c>
      <c r="D46" s="23">
        <v>11</v>
      </c>
      <c r="E46" s="33">
        <v>122</v>
      </c>
      <c r="F46" s="31">
        <v>11.090909090909092</v>
      </c>
      <c r="G46" s="23" t="s">
        <v>77</v>
      </c>
      <c r="H46" s="27">
        <v>11</v>
      </c>
      <c r="I46" s="33">
        <v>23</v>
      </c>
      <c r="J46" s="24">
        <v>2.799755568236364</v>
      </c>
      <c r="K46" s="24">
        <v>0.60076779024879279</v>
      </c>
      <c r="L46" s="24">
        <v>1.825</v>
      </c>
      <c r="M46" s="24">
        <v>3</v>
      </c>
      <c r="N46" s="24">
        <v>3.2727272727000001</v>
      </c>
      <c r="O46" s="24">
        <v>3.4468085105999999</v>
      </c>
      <c r="P46" s="24">
        <v>944.74381818181826</v>
      </c>
      <c r="Q46" s="24">
        <v>10.447585652371369</v>
      </c>
      <c r="R46" s="24">
        <v>970</v>
      </c>
      <c r="S46" s="24">
        <v>940.13400000000001</v>
      </c>
      <c r="T46" s="24">
        <v>937.42899999999997</v>
      </c>
      <c r="U46" s="24">
        <v>934.81799999999998</v>
      </c>
      <c r="V46" s="24">
        <v>3.460800308518182</v>
      </c>
      <c r="W46" s="24">
        <v>0.43659980761019318</v>
      </c>
      <c r="X46" s="24">
        <v>2.6176470587999998</v>
      </c>
      <c r="Y46" s="24">
        <v>3.5294117646999998</v>
      </c>
      <c r="Z46" s="24">
        <v>3.8888888889</v>
      </c>
      <c r="AA46" s="24">
        <v>3.9574468084999999</v>
      </c>
      <c r="AB46" s="24">
        <v>932.51618181818185</v>
      </c>
      <c r="AC46" s="24">
        <v>10.87310776933789</v>
      </c>
      <c r="AD46" s="24">
        <v>953.32399999999996</v>
      </c>
      <c r="AE46" s="24">
        <v>928.13599999999997</v>
      </c>
      <c r="AF46" s="24">
        <v>923.53800000000001</v>
      </c>
      <c r="AG46" s="24">
        <v>921.90800000000002</v>
      </c>
    </row>
    <row r="47" spans="1:33">
      <c r="A47" s="66"/>
      <c r="B47" s="23" t="s">
        <v>60</v>
      </c>
      <c r="C47" s="23">
        <v>9</v>
      </c>
      <c r="D47" s="23">
        <v>9</v>
      </c>
      <c r="E47" s="33">
        <v>149</v>
      </c>
      <c r="F47" s="31">
        <v>16.555555555555557</v>
      </c>
      <c r="G47" s="23" t="s">
        <v>77</v>
      </c>
      <c r="H47" s="27">
        <v>9</v>
      </c>
      <c r="I47" s="33">
        <v>8</v>
      </c>
      <c r="J47" s="24">
        <v>4.0089038499666669</v>
      </c>
      <c r="K47" s="24">
        <v>0.23812161525262349</v>
      </c>
      <c r="L47" s="24">
        <v>3.6976744186000001</v>
      </c>
      <c r="M47" s="24">
        <v>4.0408163264999999</v>
      </c>
      <c r="N47" s="24">
        <v>4.2127659574000003</v>
      </c>
      <c r="O47" s="24">
        <v>4.3260869565000002</v>
      </c>
      <c r="P47" s="24">
        <v>919.4902222222222</v>
      </c>
      <c r="Q47" s="24">
        <v>7.3783711240655672</v>
      </c>
      <c r="R47" s="24">
        <v>930.04700000000003</v>
      </c>
      <c r="S47" s="24">
        <v>916</v>
      </c>
      <c r="T47" s="24">
        <v>915.21299999999997</v>
      </c>
      <c r="U47" s="24">
        <v>910.28300000000002</v>
      </c>
      <c r="V47" s="24">
        <v>4.2164947442888892</v>
      </c>
      <c r="W47" s="24">
        <v>0.28904681686601641</v>
      </c>
      <c r="X47" s="24">
        <v>3.7755102041000002</v>
      </c>
      <c r="Y47" s="24">
        <v>4.2708333332999997</v>
      </c>
      <c r="Z47" s="24">
        <v>4.3260869565000002</v>
      </c>
      <c r="AA47" s="24">
        <v>4.5869565217000003</v>
      </c>
      <c r="AB47" s="24">
        <v>913.93500000000006</v>
      </c>
      <c r="AC47" s="24">
        <v>7.2391070754617317</v>
      </c>
      <c r="AD47" s="24">
        <v>926.274</v>
      </c>
      <c r="AE47" s="24">
        <v>910.75</v>
      </c>
      <c r="AF47" s="24">
        <v>909.31399999999996</v>
      </c>
      <c r="AG47" s="24">
        <v>906.495</v>
      </c>
    </row>
    <row r="48" spans="1:33">
      <c r="A48" s="65"/>
      <c r="B48" s="23" t="s">
        <v>61</v>
      </c>
      <c r="C48" s="23">
        <v>11</v>
      </c>
      <c r="D48" s="23">
        <v>10</v>
      </c>
      <c r="E48" s="33">
        <v>98</v>
      </c>
      <c r="F48" s="31">
        <v>9.8000000000000007</v>
      </c>
      <c r="G48" s="23" t="s">
        <v>77</v>
      </c>
      <c r="H48" s="27">
        <v>10</v>
      </c>
      <c r="I48" s="33">
        <v>15</v>
      </c>
      <c r="J48" s="24">
        <v>3.7461101610555549</v>
      </c>
      <c r="K48" s="24">
        <v>0.5268652860967018</v>
      </c>
      <c r="L48" s="24">
        <v>2.4594594595000001</v>
      </c>
      <c r="M48" s="24">
        <v>3.9565217390999998</v>
      </c>
      <c r="N48" s="24">
        <v>4.0625</v>
      </c>
      <c r="O48" s="24">
        <v>4.0975609756000004</v>
      </c>
      <c r="P48" s="24">
        <v>926.70579999999995</v>
      </c>
      <c r="Q48" s="24">
        <v>11.0601942398053</v>
      </c>
      <c r="R48" s="24">
        <v>956.21600000000001</v>
      </c>
      <c r="S48" s="24">
        <v>924.06299999999999</v>
      </c>
      <c r="T48" s="24">
        <v>920.25599999999997</v>
      </c>
      <c r="U48" s="24">
        <v>918.28</v>
      </c>
      <c r="V48" s="24">
        <v>4.0050488354444447</v>
      </c>
      <c r="W48" s="24">
        <v>0.61446346509545846</v>
      </c>
      <c r="X48" s="24">
        <v>2.4594594595000001</v>
      </c>
      <c r="Y48" s="24">
        <v>4.0833333332999997</v>
      </c>
      <c r="Z48" s="24">
        <v>4.3541666667000003</v>
      </c>
      <c r="AA48" s="24">
        <v>4.4893617021000001</v>
      </c>
      <c r="AB48" s="24">
        <v>919.15640000000008</v>
      </c>
      <c r="AC48" s="24">
        <v>14.442615823396469</v>
      </c>
      <c r="AD48" s="24">
        <v>956.21600000000001</v>
      </c>
      <c r="AE48" s="24">
        <v>918.28</v>
      </c>
      <c r="AF48" s="24">
        <v>909.02499999999998</v>
      </c>
      <c r="AG48" s="24">
        <v>905.43299999999999</v>
      </c>
    </row>
    <row r="49" spans="1:33">
      <c r="A49" s="23" t="s">
        <v>63</v>
      </c>
      <c r="B49" s="23" t="s">
        <v>64</v>
      </c>
      <c r="C49" s="23">
        <v>32</v>
      </c>
      <c r="D49" s="23">
        <v>32</v>
      </c>
      <c r="E49" s="33">
        <v>223</v>
      </c>
      <c r="F49" s="31">
        <v>6.96875</v>
      </c>
      <c r="G49" s="23" t="s">
        <v>77</v>
      </c>
      <c r="H49" s="27">
        <v>29</v>
      </c>
      <c r="I49" s="33">
        <v>64</v>
      </c>
      <c r="J49" s="24">
        <v>3.456662308384375</v>
      </c>
      <c r="K49" s="24">
        <v>0.35771609593663389</v>
      </c>
      <c r="L49" s="24">
        <v>2.5106382978999999</v>
      </c>
      <c r="M49" s="24">
        <v>3.5</v>
      </c>
      <c r="N49" s="24">
        <v>3.7446808511</v>
      </c>
      <c r="O49" s="24">
        <v>3.8478260870000001</v>
      </c>
      <c r="P49" s="24">
        <v>933.36903125000003</v>
      </c>
      <c r="Q49" s="24">
        <v>8.1798646194506386</v>
      </c>
      <c r="R49" s="24">
        <v>960.93600000000004</v>
      </c>
      <c r="S49" s="24">
        <v>930.9</v>
      </c>
      <c r="T49" s="24">
        <v>927.29300000000001</v>
      </c>
      <c r="U49" s="24">
        <v>924.94899999999996</v>
      </c>
      <c r="V49" s="24">
        <v>3.889644353603448</v>
      </c>
      <c r="W49" s="24">
        <v>0.3991969632505708</v>
      </c>
      <c r="X49" s="24">
        <v>2.5106382978999999</v>
      </c>
      <c r="Y49" s="24">
        <v>3.9215686275000001</v>
      </c>
      <c r="Z49" s="24">
        <v>4.1489361701999998</v>
      </c>
      <c r="AA49" s="24">
        <v>4.3720930232999997</v>
      </c>
      <c r="AB49" s="24">
        <v>921.6229310344828</v>
      </c>
      <c r="AC49" s="24">
        <v>7.6623383223727846</v>
      </c>
      <c r="AD49" s="24">
        <v>940.09400000000005</v>
      </c>
      <c r="AE49" s="24">
        <v>921.654</v>
      </c>
      <c r="AF49" s="24">
        <v>915.09400000000005</v>
      </c>
      <c r="AG49" s="24">
        <v>910.92</v>
      </c>
    </row>
    <row r="50" spans="1:33">
      <c r="A50" s="23" t="s">
        <v>65</v>
      </c>
      <c r="B50" s="23" t="s">
        <v>66</v>
      </c>
      <c r="C50" s="23">
        <v>32</v>
      </c>
      <c r="D50" s="23">
        <v>32</v>
      </c>
      <c r="E50" s="33">
        <v>333</v>
      </c>
      <c r="F50" s="31">
        <v>10.40625</v>
      </c>
      <c r="G50" s="23" t="s">
        <v>77</v>
      </c>
      <c r="H50" s="27">
        <v>29</v>
      </c>
      <c r="I50" s="33">
        <v>48</v>
      </c>
      <c r="J50" s="24">
        <v>3.7556644339290322</v>
      </c>
      <c r="K50" s="24">
        <v>0.55396337278251162</v>
      </c>
      <c r="L50" s="24">
        <v>1.5757575758</v>
      </c>
      <c r="M50" s="24">
        <v>3.9166666666999999</v>
      </c>
      <c r="N50" s="24">
        <v>4.1020408162999997</v>
      </c>
      <c r="O50" s="24">
        <v>4.2083333332999997</v>
      </c>
      <c r="P50" s="24">
        <v>925.44312500000001</v>
      </c>
      <c r="Q50" s="24">
        <v>14.280762538938481</v>
      </c>
      <c r="R50" s="24">
        <v>982.95500000000004</v>
      </c>
      <c r="S50" s="24">
        <v>922.15</v>
      </c>
      <c r="T50" s="24">
        <v>917.72900000000004</v>
      </c>
      <c r="U50" s="24">
        <v>914.72</v>
      </c>
      <c r="V50" s="24">
        <v>4.2497329557428571</v>
      </c>
      <c r="W50" s="24">
        <v>0.26897366642152071</v>
      </c>
      <c r="X50" s="24">
        <v>3.6666666666999999</v>
      </c>
      <c r="Y50" s="24">
        <v>4.2916666667000003</v>
      </c>
      <c r="Z50" s="24">
        <v>4.4680851064000002</v>
      </c>
      <c r="AA50" s="24">
        <v>4.6444444444000004</v>
      </c>
      <c r="AB50" s="24">
        <v>912.11000000000013</v>
      </c>
      <c r="AC50" s="24">
        <v>6.9702222192491279</v>
      </c>
      <c r="AD50" s="24">
        <v>929.68</v>
      </c>
      <c r="AE50" s="24">
        <v>909.57899999999995</v>
      </c>
      <c r="AF50" s="24">
        <v>907.13599999999997</v>
      </c>
      <c r="AG50" s="24">
        <v>903</v>
      </c>
    </row>
    <row r="51" spans="1:33">
      <c r="A51" s="23" t="s">
        <v>112</v>
      </c>
      <c r="B51" s="23" t="s">
        <v>62</v>
      </c>
      <c r="C51" s="23">
        <v>18</v>
      </c>
      <c r="D51" s="23">
        <v>56</v>
      </c>
      <c r="E51" s="33">
        <v>553</v>
      </c>
      <c r="F51" s="31">
        <v>9.875</v>
      </c>
      <c r="G51" s="23" t="s">
        <v>77</v>
      </c>
      <c r="H51" s="27">
        <v>50</v>
      </c>
      <c r="I51" s="33">
        <v>89</v>
      </c>
      <c r="J51" s="24">
        <v>3.8003262262410722</v>
      </c>
      <c r="K51" s="24">
        <v>0.26873149805224672</v>
      </c>
      <c r="L51" s="24">
        <v>2.6222222222</v>
      </c>
      <c r="M51" s="24">
        <v>3.8604651162999999</v>
      </c>
      <c r="N51" s="24">
        <v>4</v>
      </c>
      <c r="O51" s="24">
        <v>4.1086956521999998</v>
      </c>
      <c r="P51" s="24">
        <v>925.49319642857142</v>
      </c>
      <c r="Q51" s="24">
        <v>5.5066704192432612</v>
      </c>
      <c r="R51" s="24">
        <v>939.88699999999994</v>
      </c>
      <c r="S51" s="24">
        <v>923.65</v>
      </c>
      <c r="T51" s="24">
        <v>921.71100000000001</v>
      </c>
      <c r="U51" s="24">
        <v>919.28399999999999</v>
      </c>
      <c r="V51" s="24">
        <v>4.1260595185180007</v>
      </c>
      <c r="W51" s="24">
        <v>0.30595960123637389</v>
      </c>
      <c r="X51" s="24">
        <v>3.3829787233999999</v>
      </c>
      <c r="Y51" s="24">
        <v>4.0952380952</v>
      </c>
      <c r="Z51" s="24">
        <v>4.4255319148999996</v>
      </c>
      <c r="AA51" s="24">
        <v>4.5681818182000002</v>
      </c>
      <c r="AB51" s="24">
        <v>917.34823999999992</v>
      </c>
      <c r="AC51" s="24">
        <v>7.7133606946992099</v>
      </c>
      <c r="AD51" s="24">
        <v>937.38300000000004</v>
      </c>
      <c r="AE51" s="24">
        <v>917.80499999999995</v>
      </c>
      <c r="AF51" s="24">
        <v>910.15</v>
      </c>
      <c r="AG51" s="24">
        <v>907.23</v>
      </c>
    </row>
    <row r="52" spans="1:33">
      <c r="Y52" s="37"/>
    </row>
  </sheetData>
  <mergeCells count="24">
    <mergeCell ref="A35:A37"/>
    <mergeCell ref="A40:A44"/>
    <mergeCell ref="A45:A48"/>
    <mergeCell ref="P2:U2"/>
    <mergeCell ref="J1:U1"/>
    <mergeCell ref="A4:A10"/>
    <mergeCell ref="A11:A19"/>
    <mergeCell ref="A20:A25"/>
    <mergeCell ref="A26:A31"/>
    <mergeCell ref="A32:A34"/>
    <mergeCell ref="C1:C3"/>
    <mergeCell ref="A1:A3"/>
    <mergeCell ref="B1:B3"/>
    <mergeCell ref="AB2:AG2"/>
    <mergeCell ref="V1:AG1"/>
    <mergeCell ref="V2:AA2"/>
    <mergeCell ref="D1:I1"/>
    <mergeCell ref="D2:D3"/>
    <mergeCell ref="E2:E3"/>
    <mergeCell ref="F2:F3"/>
    <mergeCell ref="G2:G3"/>
    <mergeCell ref="H2:H3"/>
    <mergeCell ref="I2:I3"/>
    <mergeCell ref="J2:O2"/>
  </mergeCells>
  <phoneticPr fontId="7" type="noConversion"/>
  <pageMargins left="0.75" right="0.75" top="1" bottom="1" header="0.5" footer="0.5"/>
  <pageSetup paperSize="9" scale="30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35"/>
  <sheetViews>
    <sheetView zoomScale="85" zoomScaleNormal="85" workbookViewId="0">
      <pane xSplit="2" ySplit="3" topLeftCell="N4" activePane="bottomRight" state="frozen"/>
      <selection pane="topRight"/>
      <selection pane="bottomLeft"/>
      <selection pane="bottomRight" activeCell="AA17" sqref="AA17"/>
    </sheetView>
  </sheetViews>
  <sheetFormatPr defaultRowHeight="16.5"/>
  <cols>
    <col min="1" max="1" width="14" style="15" customWidth="1"/>
    <col min="2" max="2" width="36.25" style="15" customWidth="1"/>
    <col min="3" max="3" width="11.25" style="15" customWidth="1"/>
    <col min="4" max="7" width="9.625" style="21" customWidth="1"/>
    <col min="8" max="9" width="10.375" style="21" customWidth="1"/>
    <col min="10" max="33" width="11" style="21" customWidth="1"/>
    <col min="34" max="16384" width="9" style="21"/>
  </cols>
  <sheetData>
    <row r="1" spans="1:33">
      <c r="A1" s="102" t="s">
        <v>2</v>
      </c>
      <c r="B1" s="103" t="s">
        <v>3</v>
      </c>
      <c r="C1" s="100" t="s">
        <v>79</v>
      </c>
      <c r="D1" s="68" t="s">
        <v>78</v>
      </c>
      <c r="E1" s="97"/>
      <c r="F1" s="97"/>
      <c r="G1" s="97"/>
      <c r="H1" s="97"/>
      <c r="I1" s="97"/>
      <c r="J1" s="55" t="s">
        <v>113</v>
      </c>
      <c r="K1" s="56"/>
      <c r="L1" s="56"/>
      <c r="M1" s="56"/>
      <c r="N1" s="56"/>
      <c r="O1" s="56"/>
      <c r="P1" s="56"/>
      <c r="Q1" s="56"/>
      <c r="R1" s="56"/>
      <c r="S1" s="56"/>
      <c r="T1" s="56"/>
      <c r="U1" s="57"/>
      <c r="V1" s="55" t="s">
        <v>116</v>
      </c>
      <c r="W1" s="56"/>
      <c r="X1" s="56"/>
      <c r="Y1" s="56"/>
      <c r="Z1" s="56"/>
      <c r="AA1" s="56"/>
      <c r="AB1" s="56"/>
      <c r="AC1" s="56"/>
      <c r="AD1" s="56"/>
      <c r="AE1" s="56"/>
      <c r="AF1" s="56"/>
      <c r="AG1" s="57"/>
    </row>
    <row r="2" spans="1:33" ht="21.95" customHeight="1">
      <c r="A2" s="103"/>
      <c r="B2" s="103"/>
      <c r="C2" s="100"/>
      <c r="D2" s="64" t="s">
        <v>70</v>
      </c>
      <c r="E2" s="64" t="s">
        <v>71</v>
      </c>
      <c r="F2" s="64" t="s">
        <v>72</v>
      </c>
      <c r="G2" s="98" t="s">
        <v>73</v>
      </c>
      <c r="H2" s="98" t="s">
        <v>74</v>
      </c>
      <c r="I2" s="98" t="s">
        <v>75</v>
      </c>
      <c r="J2" s="52" t="s">
        <v>4</v>
      </c>
      <c r="K2" s="53"/>
      <c r="L2" s="53"/>
      <c r="M2" s="53"/>
      <c r="N2" s="53"/>
      <c r="O2" s="54"/>
      <c r="P2" s="52" t="s">
        <v>5</v>
      </c>
      <c r="Q2" s="53"/>
      <c r="R2" s="53"/>
      <c r="S2" s="53"/>
      <c r="T2" s="53"/>
      <c r="U2" s="54"/>
      <c r="V2" s="52" t="s">
        <v>4</v>
      </c>
      <c r="W2" s="53"/>
      <c r="X2" s="53"/>
      <c r="Y2" s="53"/>
      <c r="Z2" s="53"/>
      <c r="AA2" s="54"/>
      <c r="AB2" s="52" t="s">
        <v>5</v>
      </c>
      <c r="AC2" s="53"/>
      <c r="AD2" s="53"/>
      <c r="AE2" s="53"/>
      <c r="AF2" s="53"/>
      <c r="AG2" s="54"/>
    </row>
    <row r="3" spans="1:33" ht="21.95" customHeight="1">
      <c r="A3" s="97"/>
      <c r="B3" s="97"/>
      <c r="C3" s="101"/>
      <c r="D3" s="65"/>
      <c r="E3" s="65"/>
      <c r="F3" s="65"/>
      <c r="G3" s="99"/>
      <c r="H3" s="99"/>
      <c r="I3" s="99"/>
      <c r="J3" s="20" t="s">
        <v>6</v>
      </c>
      <c r="K3" s="20" t="s">
        <v>7</v>
      </c>
      <c r="L3" s="20" t="s">
        <v>10</v>
      </c>
      <c r="M3" s="20" t="s">
        <v>8</v>
      </c>
      <c r="N3" s="20" t="s">
        <v>9</v>
      </c>
      <c r="O3" s="20" t="s">
        <v>11</v>
      </c>
      <c r="P3" s="20" t="s">
        <v>6</v>
      </c>
      <c r="Q3" s="20" t="s">
        <v>7</v>
      </c>
      <c r="R3" s="20" t="s">
        <v>12</v>
      </c>
      <c r="S3" s="20" t="s">
        <v>8</v>
      </c>
      <c r="T3" s="20" t="s">
        <v>9</v>
      </c>
      <c r="U3" s="20" t="s">
        <v>13</v>
      </c>
      <c r="V3" s="20" t="s">
        <v>6</v>
      </c>
      <c r="W3" s="20" t="s">
        <v>7</v>
      </c>
      <c r="X3" s="20" t="s">
        <v>10</v>
      </c>
      <c r="Y3" s="20" t="s">
        <v>8</v>
      </c>
      <c r="Z3" s="20" t="s">
        <v>9</v>
      </c>
      <c r="AA3" s="20" t="s">
        <v>11</v>
      </c>
      <c r="AB3" s="20" t="s">
        <v>6</v>
      </c>
      <c r="AC3" s="20" t="s">
        <v>7</v>
      </c>
      <c r="AD3" s="20" t="s">
        <v>12</v>
      </c>
      <c r="AE3" s="20" t="s">
        <v>8</v>
      </c>
      <c r="AF3" s="20" t="s">
        <v>9</v>
      </c>
      <c r="AG3" s="20" t="s">
        <v>13</v>
      </c>
    </row>
    <row r="4" spans="1:33">
      <c r="A4" s="64" t="s">
        <v>14</v>
      </c>
      <c r="B4" s="23" t="s">
        <v>15</v>
      </c>
      <c r="C4" s="23">
        <v>6</v>
      </c>
      <c r="D4" s="23">
        <v>6</v>
      </c>
      <c r="E4" s="23">
        <v>45</v>
      </c>
      <c r="F4" s="31">
        <v>7.5</v>
      </c>
      <c r="G4" s="23" t="s">
        <v>77</v>
      </c>
      <c r="H4" s="23">
        <v>6</v>
      </c>
      <c r="I4" s="23">
        <v>7</v>
      </c>
      <c r="J4" s="24">
        <v>3.7016889066333332</v>
      </c>
      <c r="K4" s="24">
        <v>0.28530874892767971</v>
      </c>
      <c r="L4" s="24">
        <v>3.3111111110999998</v>
      </c>
      <c r="M4" s="24">
        <v>3.7843137255000001</v>
      </c>
      <c r="N4" s="24">
        <v>3.9361702128</v>
      </c>
      <c r="O4" s="24">
        <v>4</v>
      </c>
      <c r="P4" s="24">
        <v>928.95766666666668</v>
      </c>
      <c r="Q4" s="24">
        <v>7.1168487314728619</v>
      </c>
      <c r="R4" s="24">
        <v>938.125</v>
      </c>
      <c r="S4" s="24">
        <v>927.66</v>
      </c>
      <c r="T4" s="24">
        <v>922.83399999999995</v>
      </c>
      <c r="U4" s="24">
        <v>921.30700000000002</v>
      </c>
      <c r="V4" s="24">
        <v>4.0603255795333331</v>
      </c>
      <c r="W4" s="24">
        <v>0.26832010591288369</v>
      </c>
      <c r="X4" s="24">
        <v>3.7843137255000001</v>
      </c>
      <c r="Y4" s="24">
        <v>3.9361702128</v>
      </c>
      <c r="Z4" s="24">
        <v>4.2765957446999998</v>
      </c>
      <c r="AA4" s="24">
        <v>4.4347826087</v>
      </c>
      <c r="AB4" s="24">
        <v>920.10533333333331</v>
      </c>
      <c r="AC4" s="24">
        <v>6.7752397054765909</v>
      </c>
      <c r="AD4" s="24">
        <v>927.66</v>
      </c>
      <c r="AE4" s="24">
        <v>922.83399999999995</v>
      </c>
      <c r="AF4" s="24">
        <v>915.14300000000003</v>
      </c>
      <c r="AG4" s="24">
        <v>910.56299999999999</v>
      </c>
    </row>
    <row r="5" spans="1:33">
      <c r="A5" s="66"/>
      <c r="B5" s="23" t="s">
        <v>17</v>
      </c>
      <c r="C5" s="23">
        <v>5</v>
      </c>
      <c r="D5" s="23">
        <v>4</v>
      </c>
      <c r="E5" s="27">
        <v>29</v>
      </c>
      <c r="F5" s="31">
        <v>7.25</v>
      </c>
      <c r="G5" s="23" t="s">
        <v>77</v>
      </c>
      <c r="H5" s="27">
        <v>4</v>
      </c>
      <c r="I5" s="33">
        <v>13</v>
      </c>
      <c r="J5" s="24">
        <v>4.4288423846500002</v>
      </c>
      <c r="K5" s="24">
        <v>0.82611621570846094</v>
      </c>
      <c r="L5" s="24">
        <v>3.1956521739000001</v>
      </c>
      <c r="M5" s="24">
        <v>4.7272727272999999</v>
      </c>
      <c r="N5" s="24">
        <v>4.8775510204000003</v>
      </c>
      <c r="O5" s="24">
        <v>4.9148936169999997</v>
      </c>
      <c r="P5" s="24">
        <v>910.98775000000001</v>
      </c>
      <c r="Q5" s="24">
        <v>21.620277154791509</v>
      </c>
      <c r="R5" s="24">
        <v>943.18799999999999</v>
      </c>
      <c r="S5" s="24">
        <v>903.73900000000003</v>
      </c>
      <c r="T5" s="24">
        <v>899.41200000000003</v>
      </c>
      <c r="U5" s="24">
        <v>897.61199999999997</v>
      </c>
      <c r="V5" s="24">
        <v>5.278849637675</v>
      </c>
      <c r="W5" s="24">
        <v>0.30262854672292172</v>
      </c>
      <c r="X5" s="24">
        <v>4.8695652173999999</v>
      </c>
      <c r="Y5" s="24">
        <v>5.3125</v>
      </c>
      <c r="Z5" s="24">
        <v>5.3333333332999997</v>
      </c>
      <c r="AA5" s="24">
        <v>5.6</v>
      </c>
      <c r="AB5" s="24">
        <v>886.22874999999999</v>
      </c>
      <c r="AC5" s="24">
        <v>6.8891060559408048</v>
      </c>
      <c r="AD5" s="24">
        <v>895.125</v>
      </c>
      <c r="AE5" s="24">
        <v>884.51900000000001</v>
      </c>
      <c r="AF5" s="24">
        <v>880.80150000000003</v>
      </c>
      <c r="AG5" s="24">
        <v>880.75199999999995</v>
      </c>
    </row>
    <row r="6" spans="1:33">
      <c r="A6" s="65"/>
      <c r="B6" s="23" t="s">
        <v>21</v>
      </c>
      <c r="C6" s="23">
        <v>5</v>
      </c>
      <c r="D6" s="23">
        <v>5</v>
      </c>
      <c r="E6" s="27">
        <v>31</v>
      </c>
      <c r="F6" s="31">
        <v>6.2</v>
      </c>
      <c r="G6" s="23" t="s">
        <v>77</v>
      </c>
      <c r="H6" s="27">
        <v>5</v>
      </c>
      <c r="I6" s="33">
        <v>8</v>
      </c>
      <c r="J6" s="24">
        <v>4.1501679553400006</v>
      </c>
      <c r="K6" s="24">
        <v>0.58697608309504956</v>
      </c>
      <c r="L6" s="24">
        <v>3.28</v>
      </c>
      <c r="M6" s="24">
        <v>4.1860465115999999</v>
      </c>
      <c r="N6" s="24">
        <v>4.6458333332999997</v>
      </c>
      <c r="O6" s="24">
        <v>4.7173913043000004</v>
      </c>
      <c r="P6" s="24">
        <v>916.27240000000006</v>
      </c>
      <c r="Q6" s="24">
        <v>14.98284369871087</v>
      </c>
      <c r="R6" s="24">
        <v>939.30799999999999</v>
      </c>
      <c r="S6" s="24">
        <v>913.72900000000004</v>
      </c>
      <c r="T6" s="24">
        <v>903.5</v>
      </c>
      <c r="U6" s="24">
        <v>903.25</v>
      </c>
      <c r="V6" s="24">
        <v>4.9230689176800002</v>
      </c>
      <c r="W6" s="24">
        <v>0.27470513413979097</v>
      </c>
      <c r="X6" s="24">
        <v>4.6086956521999998</v>
      </c>
      <c r="Y6" s="24">
        <v>5.0416666667000003</v>
      </c>
      <c r="Z6" s="24">
        <v>5.1489361701999998</v>
      </c>
      <c r="AA6" s="24">
        <v>5.1702127659999997</v>
      </c>
      <c r="AB6" s="24">
        <v>896.18860000000006</v>
      </c>
      <c r="AC6" s="24">
        <v>6.2955503969073323</v>
      </c>
      <c r="AD6" s="24">
        <v>903.5</v>
      </c>
      <c r="AE6" s="24">
        <v>895.24</v>
      </c>
      <c r="AF6" s="24">
        <v>891.26499999999999</v>
      </c>
      <c r="AG6" s="24">
        <v>889.18799999999999</v>
      </c>
    </row>
    <row r="7" spans="1:33">
      <c r="A7" s="64" t="s">
        <v>22</v>
      </c>
      <c r="B7" s="23" t="s">
        <v>28</v>
      </c>
      <c r="C7" s="23">
        <v>8</v>
      </c>
      <c r="D7" s="23">
        <v>5</v>
      </c>
      <c r="E7" s="27">
        <v>58</v>
      </c>
      <c r="F7" s="31">
        <v>11.6</v>
      </c>
      <c r="G7" s="23" t="s">
        <v>77</v>
      </c>
      <c r="H7" s="27">
        <v>4</v>
      </c>
      <c r="I7" s="33">
        <v>4</v>
      </c>
      <c r="J7" s="24">
        <v>4.2120282104600006</v>
      </c>
      <c r="K7" s="24">
        <v>0.16824348192750929</v>
      </c>
      <c r="L7" s="24">
        <v>4.0217391304000003</v>
      </c>
      <c r="M7" s="24">
        <v>4.2173913043000004</v>
      </c>
      <c r="N7" s="24">
        <v>4.3636363636000004</v>
      </c>
      <c r="O7" s="24">
        <v>4.3921568627000003</v>
      </c>
      <c r="P7" s="24">
        <v>916.125</v>
      </c>
      <c r="Q7" s="24">
        <v>5.0969417791455989</v>
      </c>
      <c r="R7" s="24">
        <v>921.81299999999999</v>
      </c>
      <c r="S7" s="24">
        <v>915.93200000000002</v>
      </c>
      <c r="T7" s="24">
        <v>911.34299999999996</v>
      </c>
      <c r="U7" s="24">
        <v>910.84900000000005</v>
      </c>
      <c r="V7" s="24">
        <v>4.2695239520000001</v>
      </c>
      <c r="W7" s="24">
        <v>0.19199286121824699</v>
      </c>
      <c r="X7" s="24">
        <v>4.0217391304000003</v>
      </c>
      <c r="Y7" s="24">
        <v>4.2173913043000004</v>
      </c>
      <c r="Z7" s="24">
        <v>4.3921568627000003</v>
      </c>
      <c r="AA7" s="24">
        <v>4.4468085106000004</v>
      </c>
      <c r="AB7" s="24">
        <v>914.09449999999993</v>
      </c>
      <c r="AC7" s="24">
        <v>6.1456577895833542</v>
      </c>
      <c r="AD7" s="24">
        <v>921.81299999999999</v>
      </c>
      <c r="AE7" s="24">
        <v>913.39049999999997</v>
      </c>
      <c r="AF7" s="24">
        <v>910.08275000000003</v>
      </c>
      <c r="AG7" s="24">
        <v>907.78399999999999</v>
      </c>
    </row>
    <row r="8" spans="1:33">
      <c r="A8" s="66"/>
      <c r="B8" s="23" t="s">
        <v>29</v>
      </c>
      <c r="C8" s="23">
        <v>6</v>
      </c>
      <c r="D8" s="23">
        <v>6</v>
      </c>
      <c r="E8" s="27">
        <v>41</v>
      </c>
      <c r="F8" s="31">
        <v>6.833333333333333</v>
      </c>
      <c r="G8" s="23" t="s">
        <v>77</v>
      </c>
      <c r="H8" s="27">
        <v>6</v>
      </c>
      <c r="I8" s="33">
        <v>10</v>
      </c>
      <c r="J8" s="24">
        <v>3.5944311428</v>
      </c>
      <c r="K8" s="24">
        <v>0.26503159172304908</v>
      </c>
      <c r="L8" s="24">
        <v>3.2549019607999998</v>
      </c>
      <c r="M8" s="24">
        <v>3.6170212766000001</v>
      </c>
      <c r="N8" s="24">
        <v>3.8297872339999999</v>
      </c>
      <c r="O8" s="24">
        <v>3.8431372548999998</v>
      </c>
      <c r="P8" s="24">
        <v>931.12350000000004</v>
      </c>
      <c r="Q8" s="24">
        <v>8.0269973153103695</v>
      </c>
      <c r="R8" s="24">
        <v>941.41499999999996</v>
      </c>
      <c r="S8" s="24">
        <v>931.47400000000005</v>
      </c>
      <c r="T8" s="24">
        <v>924.40700000000004</v>
      </c>
      <c r="U8" s="24">
        <v>923.13199999999995</v>
      </c>
      <c r="V8" s="24">
        <v>4.2268228903499994</v>
      </c>
      <c r="W8" s="24">
        <v>0.50791442076338555</v>
      </c>
      <c r="X8" s="24">
        <v>3.2549019607999998</v>
      </c>
      <c r="Y8" s="24">
        <v>4.3333333332999997</v>
      </c>
      <c r="Z8" s="24">
        <v>4.3953488372000002</v>
      </c>
      <c r="AA8" s="24">
        <v>4.7555555556</v>
      </c>
      <c r="AB8" s="24">
        <v>915.42183333333332</v>
      </c>
      <c r="AC8" s="24">
        <v>13.772592282016721</v>
      </c>
      <c r="AD8" s="24">
        <v>941.41499999999996</v>
      </c>
      <c r="AE8" s="24">
        <v>912.81500000000005</v>
      </c>
      <c r="AF8" s="24">
        <v>910.03825000000006</v>
      </c>
      <c r="AG8" s="24">
        <v>900.54</v>
      </c>
    </row>
    <row r="9" spans="1:33" ht="33">
      <c r="A9" s="64" t="s">
        <v>31</v>
      </c>
      <c r="B9" s="22" t="s">
        <v>124</v>
      </c>
      <c r="C9" s="23">
        <v>5</v>
      </c>
      <c r="D9" s="23">
        <v>5</v>
      </c>
      <c r="E9" s="27">
        <v>17</v>
      </c>
      <c r="F9" s="31">
        <v>3.4</v>
      </c>
      <c r="G9" s="23" t="s">
        <v>77</v>
      </c>
      <c r="H9" s="27">
        <v>4</v>
      </c>
      <c r="I9" s="33">
        <v>11</v>
      </c>
      <c r="J9" s="24">
        <v>3.9464889412200002</v>
      </c>
      <c r="K9" s="24">
        <v>0.30659262983818653</v>
      </c>
      <c r="L9" s="24">
        <v>3.4893617021000001</v>
      </c>
      <c r="M9" s="24">
        <v>4.0454545455000002</v>
      </c>
      <c r="N9" s="24">
        <v>4.1521739130000004</v>
      </c>
      <c r="O9" s="24">
        <v>4.25</v>
      </c>
      <c r="P9" s="24">
        <v>922.90120000000002</v>
      </c>
      <c r="Q9" s="24">
        <v>7.9607824175767901</v>
      </c>
      <c r="R9" s="24">
        <v>935.53099999999995</v>
      </c>
      <c r="S9" s="24">
        <v>919.702</v>
      </c>
      <c r="T9" s="24">
        <v>917.875</v>
      </c>
      <c r="U9" s="24">
        <v>915.76</v>
      </c>
      <c r="V9" s="24">
        <v>5.5078320483500001</v>
      </c>
      <c r="W9" s="24">
        <v>1.1254043215690459</v>
      </c>
      <c r="X9" s="24">
        <v>4.1521739130000004</v>
      </c>
      <c r="Y9" s="24">
        <v>5.2244897959000003</v>
      </c>
      <c r="Z9" s="24">
        <v>5.8085106382999996</v>
      </c>
      <c r="AA9" s="24">
        <v>6.8461538462</v>
      </c>
      <c r="AB9" s="24">
        <v>869.25150000000008</v>
      </c>
      <c r="AC9" s="24">
        <v>48.643721146721496</v>
      </c>
      <c r="AD9" s="24">
        <v>917.875</v>
      </c>
      <c r="AE9" s="24">
        <v>878.19050000000004</v>
      </c>
      <c r="AF9" s="24">
        <v>852.78925000000004</v>
      </c>
      <c r="AG9" s="24">
        <v>802.75</v>
      </c>
    </row>
    <row r="10" spans="1:33">
      <c r="A10" s="66"/>
      <c r="B10" s="23" t="s">
        <v>32</v>
      </c>
      <c r="C10" s="23">
        <v>3</v>
      </c>
      <c r="D10" s="23">
        <v>3</v>
      </c>
      <c r="E10" s="27">
        <v>11</v>
      </c>
      <c r="F10" s="31">
        <v>3.6666666666666665</v>
      </c>
      <c r="G10" s="23" t="s">
        <v>77</v>
      </c>
      <c r="H10" s="27">
        <v>3</v>
      </c>
      <c r="I10" s="33">
        <v>0</v>
      </c>
      <c r="J10" s="24">
        <v>5.3723072562333334</v>
      </c>
      <c r="K10" s="24">
        <v>0.55697608874076665</v>
      </c>
      <c r="L10" s="24">
        <v>4.7291666667000003</v>
      </c>
      <c r="M10" s="24">
        <v>5.6938775509999999</v>
      </c>
      <c r="N10" s="24">
        <v>5.6938775509999999</v>
      </c>
      <c r="O10" s="24">
        <v>5.6938775509999999</v>
      </c>
      <c r="P10" s="24">
        <v>882.976</v>
      </c>
      <c r="Q10" s="24">
        <v>14.555428300122241</v>
      </c>
      <c r="R10" s="24">
        <v>899.70799999999997</v>
      </c>
      <c r="S10" s="24">
        <v>875.98500000000001</v>
      </c>
      <c r="T10" s="24">
        <v>873.23500000000001</v>
      </c>
      <c r="U10" s="24">
        <v>873.23500000000001</v>
      </c>
      <c r="V10" s="24">
        <v>5.3723072562333334</v>
      </c>
      <c r="W10" s="24">
        <v>0.55697608874076665</v>
      </c>
      <c r="X10" s="24">
        <v>4.7291666667000003</v>
      </c>
      <c r="Y10" s="24">
        <v>5.6938775509999999</v>
      </c>
      <c r="Z10" s="24">
        <v>5.6938775509999999</v>
      </c>
      <c r="AA10" s="24">
        <v>5.6938775509999999</v>
      </c>
      <c r="AB10" s="24">
        <v>882.976</v>
      </c>
      <c r="AC10" s="24">
        <v>14.555428300122241</v>
      </c>
      <c r="AD10" s="24">
        <v>899.70799999999997</v>
      </c>
      <c r="AE10" s="24">
        <v>875.98500000000001</v>
      </c>
      <c r="AF10" s="24">
        <v>874.61</v>
      </c>
      <c r="AG10" s="24">
        <v>873.23500000000001</v>
      </c>
    </row>
    <row r="11" spans="1:33">
      <c r="A11" s="66"/>
      <c r="B11" s="23" t="s">
        <v>33</v>
      </c>
      <c r="C11" s="23">
        <v>4</v>
      </c>
      <c r="D11" s="23">
        <v>4</v>
      </c>
      <c r="E11" s="27">
        <v>18</v>
      </c>
      <c r="F11" s="31">
        <v>4.5</v>
      </c>
      <c r="G11" s="23" t="s">
        <v>77</v>
      </c>
      <c r="H11" s="27">
        <v>4</v>
      </c>
      <c r="I11" s="33">
        <v>2</v>
      </c>
      <c r="J11" s="24">
        <v>3.5027823629250001</v>
      </c>
      <c r="K11" s="24">
        <v>0.30623744847191592</v>
      </c>
      <c r="L11" s="24">
        <v>3.2352941176000001</v>
      </c>
      <c r="M11" s="24">
        <v>3.2708333333000001</v>
      </c>
      <c r="N11" s="24">
        <v>3.6274509803999999</v>
      </c>
      <c r="O11" s="24">
        <v>3.8775510203999999</v>
      </c>
      <c r="P11" s="24">
        <v>933.07899999999995</v>
      </c>
      <c r="Q11" s="24">
        <v>7.3734169826478722</v>
      </c>
      <c r="R11" s="24">
        <v>940.09100000000001</v>
      </c>
      <c r="S11" s="24">
        <v>937.6</v>
      </c>
      <c r="T11" s="24">
        <v>930.98599999999999</v>
      </c>
      <c r="U11" s="24">
        <v>923.63900000000001</v>
      </c>
      <c r="V11" s="24">
        <v>3.8984727224250002</v>
      </c>
      <c r="W11" s="24">
        <v>0.2044463078758664</v>
      </c>
      <c r="X11" s="24">
        <v>3.6274509803999999</v>
      </c>
      <c r="Y11" s="24">
        <v>3.8775510203999999</v>
      </c>
      <c r="Z11" s="24">
        <v>3.9777777778000001</v>
      </c>
      <c r="AA11" s="24">
        <v>4.1111111110999996</v>
      </c>
      <c r="AB11" s="24">
        <v>924.04549999999995</v>
      </c>
      <c r="AC11" s="24">
        <v>4.918807477427853</v>
      </c>
      <c r="AD11" s="24">
        <v>930.98599999999999</v>
      </c>
      <c r="AE11" s="24">
        <v>922.81099999999992</v>
      </c>
      <c r="AF11" s="24">
        <v>921.38074999999992</v>
      </c>
      <c r="AG11" s="24">
        <v>919.57399999999996</v>
      </c>
    </row>
    <row r="12" spans="1:33">
      <c r="A12" s="66"/>
      <c r="B12" s="23" t="s">
        <v>34</v>
      </c>
      <c r="C12" s="23">
        <v>4</v>
      </c>
      <c r="D12" s="23">
        <v>4</v>
      </c>
      <c r="E12" s="27">
        <v>25</v>
      </c>
      <c r="F12" s="31">
        <v>6.25</v>
      </c>
      <c r="G12" s="23" t="s">
        <v>77</v>
      </c>
      <c r="H12" s="27">
        <v>4</v>
      </c>
      <c r="I12" s="33">
        <v>7</v>
      </c>
      <c r="J12" s="24">
        <v>3.761965450525</v>
      </c>
      <c r="K12" s="24">
        <v>1.1676570870171059</v>
      </c>
      <c r="L12" s="24">
        <v>2.0961538462</v>
      </c>
      <c r="M12" s="24">
        <v>3.8367346939</v>
      </c>
      <c r="N12" s="24">
        <v>4.4090909090999997</v>
      </c>
      <c r="O12" s="24">
        <v>4.7058823528999998</v>
      </c>
      <c r="P12" s="24">
        <v>925.19475000000011</v>
      </c>
      <c r="Q12" s="24">
        <v>28.498459857508099</v>
      </c>
      <c r="R12" s="24">
        <v>965.05600000000004</v>
      </c>
      <c r="S12" s="24">
        <v>925.66200000000003</v>
      </c>
      <c r="T12" s="24">
        <v>909.16300000000001</v>
      </c>
      <c r="U12" s="24">
        <v>900.89800000000002</v>
      </c>
      <c r="V12" s="24">
        <v>5.0749374217500014</v>
      </c>
      <c r="W12" s="24">
        <v>0.2488066776484697</v>
      </c>
      <c r="X12" s="24">
        <v>4.7058823528999998</v>
      </c>
      <c r="Y12" s="24">
        <v>5.1470588235000001</v>
      </c>
      <c r="Z12" s="24">
        <v>5.2127659574000003</v>
      </c>
      <c r="AA12" s="24">
        <v>5.2340425532000001</v>
      </c>
      <c r="AB12" s="24">
        <v>887.77250000000004</v>
      </c>
      <c r="AC12" s="24">
        <v>9.0913762251194381</v>
      </c>
      <c r="AD12" s="24">
        <v>900.89800000000002</v>
      </c>
      <c r="AE12" s="24">
        <v>884.83150000000001</v>
      </c>
      <c r="AF12" s="24">
        <v>882.46624999999995</v>
      </c>
      <c r="AG12" s="24">
        <v>880.529</v>
      </c>
    </row>
    <row r="13" spans="1:33">
      <c r="A13" s="66"/>
      <c r="B13" s="23" t="s">
        <v>35</v>
      </c>
      <c r="C13" s="23">
        <v>4</v>
      </c>
      <c r="D13" s="23">
        <v>4</v>
      </c>
      <c r="E13" s="27">
        <v>23</v>
      </c>
      <c r="F13" s="31">
        <v>5.75</v>
      </c>
      <c r="G13" s="23" t="s">
        <v>77</v>
      </c>
      <c r="H13" s="27">
        <v>4</v>
      </c>
      <c r="I13" s="33">
        <v>10</v>
      </c>
      <c r="J13" s="24">
        <v>3.5039029198749998</v>
      </c>
      <c r="K13" s="24">
        <v>0.54826511923137977</v>
      </c>
      <c r="L13" s="24">
        <v>2.7647058823999999</v>
      </c>
      <c r="M13" s="24">
        <v>3.4375</v>
      </c>
      <c r="N13" s="24">
        <v>3.7916666666999999</v>
      </c>
      <c r="O13" s="24">
        <v>4.0217391304000003</v>
      </c>
      <c r="P13" s="24">
        <v>933.05900000000008</v>
      </c>
      <c r="Q13" s="24">
        <v>11.53757527963886</v>
      </c>
      <c r="R13" s="24">
        <v>947.54200000000003</v>
      </c>
      <c r="S13" s="24">
        <v>936.82</v>
      </c>
      <c r="T13" s="24">
        <v>926.06100000000004</v>
      </c>
      <c r="U13" s="24">
        <v>921.81299999999999</v>
      </c>
      <c r="V13" s="24">
        <v>4.4911967054249997</v>
      </c>
      <c r="W13" s="24">
        <v>0.2385890204399056</v>
      </c>
      <c r="X13" s="24">
        <v>4.2708333332999997</v>
      </c>
      <c r="Y13" s="24">
        <v>4.3600000000000003</v>
      </c>
      <c r="Z13" s="24">
        <v>4.5199999999999996</v>
      </c>
      <c r="AA13" s="24">
        <v>4.8139534884000001</v>
      </c>
      <c r="AB13" s="24">
        <v>905.98400000000004</v>
      </c>
      <c r="AC13" s="24">
        <v>5.799213797288961</v>
      </c>
      <c r="AD13" s="24">
        <v>912.22</v>
      </c>
      <c r="AE13" s="24">
        <v>906.30549999999994</v>
      </c>
      <c r="AF13" s="24">
        <v>902.48749999999995</v>
      </c>
      <c r="AG13" s="24">
        <v>899.10500000000002</v>
      </c>
    </row>
    <row r="14" spans="1:33">
      <c r="A14" s="65"/>
      <c r="B14" s="23" t="s">
        <v>36</v>
      </c>
      <c r="C14" s="23">
        <v>5</v>
      </c>
      <c r="D14" s="23">
        <v>5</v>
      </c>
      <c r="E14" s="27">
        <v>17</v>
      </c>
      <c r="F14" s="31">
        <v>3.4</v>
      </c>
      <c r="G14" s="23" t="s">
        <v>77</v>
      </c>
      <c r="H14" s="27">
        <v>4</v>
      </c>
      <c r="I14" s="33">
        <v>7</v>
      </c>
      <c r="J14" s="24">
        <v>4.4382415648800002</v>
      </c>
      <c r="K14" s="24">
        <v>0.35758228886553411</v>
      </c>
      <c r="L14" s="24">
        <v>3.8541666666999999</v>
      </c>
      <c r="M14" s="24">
        <v>4.5961538462</v>
      </c>
      <c r="N14" s="24">
        <v>4.6530612245</v>
      </c>
      <c r="O14" s="24">
        <v>4.74</v>
      </c>
      <c r="P14" s="24">
        <v>908.63640000000009</v>
      </c>
      <c r="Q14" s="24">
        <v>9.5797034818412037</v>
      </c>
      <c r="R14" s="24">
        <v>923.56500000000005</v>
      </c>
      <c r="S14" s="24">
        <v>903.85299999999995</v>
      </c>
      <c r="T14" s="24">
        <v>903.23500000000001</v>
      </c>
      <c r="U14" s="24">
        <v>899.904</v>
      </c>
      <c r="V14" s="24">
        <v>5.1143871010000002</v>
      </c>
      <c r="W14" s="24">
        <v>0.56628125288959974</v>
      </c>
      <c r="X14" s="24">
        <v>4.5961538462</v>
      </c>
      <c r="Y14" s="24">
        <v>4.6530612245</v>
      </c>
      <c r="Z14" s="24">
        <v>5.5833333332999997</v>
      </c>
      <c r="AA14" s="24">
        <v>5.625</v>
      </c>
      <c r="AB14" s="24">
        <v>889.13549999999998</v>
      </c>
      <c r="AC14" s="24">
        <v>16.66574999812487</v>
      </c>
      <c r="AD14" s="24">
        <v>903.85299999999995</v>
      </c>
      <c r="AE14" s="24">
        <v>889.55449999999996</v>
      </c>
      <c r="AF14" s="24">
        <v>875.30050000000006</v>
      </c>
      <c r="AG14" s="24">
        <v>873.58</v>
      </c>
    </row>
    <row r="15" spans="1:33">
      <c r="A15" s="64" t="s">
        <v>37</v>
      </c>
      <c r="B15" s="23" t="s">
        <v>38</v>
      </c>
      <c r="C15" s="23">
        <v>5</v>
      </c>
      <c r="D15" s="23">
        <v>5</v>
      </c>
      <c r="E15" s="27">
        <v>37</v>
      </c>
      <c r="F15" s="31">
        <v>7.4</v>
      </c>
      <c r="G15" s="23" t="s">
        <v>77</v>
      </c>
      <c r="H15" s="27">
        <v>5</v>
      </c>
      <c r="I15" s="33">
        <v>11</v>
      </c>
      <c r="J15" s="24">
        <v>3.4863240055400002</v>
      </c>
      <c r="K15" s="24">
        <v>0.31244108254532332</v>
      </c>
      <c r="L15" s="24">
        <v>3.03125</v>
      </c>
      <c r="M15" s="24">
        <v>3.6170212766000001</v>
      </c>
      <c r="N15" s="24">
        <v>3.7173913043</v>
      </c>
      <c r="O15" s="24">
        <v>3.7659574467999999</v>
      </c>
      <c r="P15" s="24">
        <v>934.64459999999997</v>
      </c>
      <c r="Q15" s="24">
        <v>6.5689029373252188</v>
      </c>
      <c r="R15" s="24">
        <v>943.65599999999995</v>
      </c>
      <c r="S15" s="24">
        <v>932.22400000000005</v>
      </c>
      <c r="T15" s="24">
        <v>929.68799999999999</v>
      </c>
      <c r="U15" s="24">
        <v>928.36699999999996</v>
      </c>
      <c r="V15" s="24">
        <v>4.1353216818799989</v>
      </c>
      <c r="W15" s="24">
        <v>0.27398400975861442</v>
      </c>
      <c r="X15" s="24">
        <v>3.7659574467999999</v>
      </c>
      <c r="Y15" s="24">
        <v>4.1041666667000003</v>
      </c>
      <c r="Z15" s="24">
        <v>4.3809523810000002</v>
      </c>
      <c r="AA15" s="24">
        <v>4.4255319148999996</v>
      </c>
      <c r="AB15" s="24">
        <v>917.04480000000001</v>
      </c>
      <c r="AC15" s="24">
        <v>7.5890398404541273</v>
      </c>
      <c r="AD15" s="24">
        <v>928.36699999999996</v>
      </c>
      <c r="AE15" s="24">
        <v>916.85699999999997</v>
      </c>
      <c r="AF15" s="24">
        <v>910.25</v>
      </c>
      <c r="AG15" s="24">
        <v>910.05</v>
      </c>
    </row>
    <row r="16" spans="1:33">
      <c r="A16" s="66"/>
      <c r="B16" s="23" t="s">
        <v>39</v>
      </c>
      <c r="C16" s="23">
        <v>14</v>
      </c>
      <c r="D16" s="23">
        <v>16</v>
      </c>
      <c r="E16" s="27">
        <v>74</v>
      </c>
      <c r="F16" s="31">
        <v>4.625</v>
      </c>
      <c r="G16" s="23" t="s">
        <v>77</v>
      </c>
      <c r="H16" s="27">
        <v>15</v>
      </c>
      <c r="I16" s="33">
        <v>17</v>
      </c>
      <c r="J16" s="24">
        <v>4.4984618918812496</v>
      </c>
      <c r="K16" s="24">
        <v>0.550442450437445</v>
      </c>
      <c r="L16" s="24">
        <v>2.9444444444000002</v>
      </c>
      <c r="M16" s="24">
        <v>4.5531914893999996</v>
      </c>
      <c r="N16" s="24">
        <v>4.8666666666999996</v>
      </c>
      <c r="O16" s="24">
        <v>5</v>
      </c>
      <c r="P16" s="24">
        <v>905.51537499999995</v>
      </c>
      <c r="Q16" s="24">
        <v>9.6714157934606408</v>
      </c>
      <c r="R16" s="24">
        <v>928.73500000000001</v>
      </c>
      <c r="S16" s="24">
        <v>907.23</v>
      </c>
      <c r="T16" s="24">
        <v>896.32299999999998</v>
      </c>
      <c r="U16" s="24">
        <v>895</v>
      </c>
      <c r="V16" s="24">
        <v>4.8814744886533337</v>
      </c>
      <c r="W16" s="24">
        <v>0.72644251428508444</v>
      </c>
      <c r="X16" s="24">
        <v>2.9444444444000002</v>
      </c>
      <c r="Y16" s="24">
        <v>5</v>
      </c>
      <c r="Z16" s="24">
        <v>5.4888888889</v>
      </c>
      <c r="AA16" s="24">
        <v>5.6862745097999996</v>
      </c>
      <c r="AB16" s="24">
        <v>895.43460000000005</v>
      </c>
      <c r="AC16" s="24">
        <v>13.739833793962511</v>
      </c>
      <c r="AD16" s="24">
        <v>916.34299999999996</v>
      </c>
      <c r="AE16" s="24">
        <v>895</v>
      </c>
      <c r="AF16" s="24">
        <v>882.10699999999997</v>
      </c>
      <c r="AG16" s="24">
        <v>875.245</v>
      </c>
    </row>
    <row r="17" spans="1:33">
      <c r="A17" s="66"/>
      <c r="B17" s="23" t="s">
        <v>40</v>
      </c>
      <c r="C17" s="23">
        <v>2</v>
      </c>
      <c r="D17" s="23">
        <v>2</v>
      </c>
      <c r="E17" s="27">
        <v>7</v>
      </c>
      <c r="F17" s="31">
        <v>3.5</v>
      </c>
      <c r="G17" s="23" t="s">
        <v>77</v>
      </c>
      <c r="H17" s="27">
        <v>2</v>
      </c>
      <c r="I17" s="33">
        <v>1</v>
      </c>
      <c r="J17" s="24">
        <v>3.9236170213000001</v>
      </c>
      <c r="K17" s="24">
        <v>0.19287465815438051</v>
      </c>
      <c r="L17" s="24">
        <v>3.7872340426000002</v>
      </c>
      <c r="M17" s="24">
        <v>3.7872340426000002</v>
      </c>
      <c r="N17" s="24">
        <v>4.0599999999999996</v>
      </c>
      <c r="O17" s="24">
        <v>4.0599999999999996</v>
      </c>
      <c r="P17" s="24">
        <v>922.22399999999993</v>
      </c>
      <c r="Q17" s="24">
        <v>2.3560797949135721</v>
      </c>
      <c r="R17" s="24">
        <v>923.89</v>
      </c>
      <c r="S17" s="24">
        <v>923.89</v>
      </c>
      <c r="T17" s="24">
        <v>920.55799999999999</v>
      </c>
      <c r="U17" s="24">
        <v>920.55799999999999</v>
      </c>
      <c r="V17" s="24">
        <v>3.9262257169499999</v>
      </c>
      <c r="W17" s="24">
        <v>0.19656391092271461</v>
      </c>
      <c r="X17" s="24">
        <v>3.7872340426000002</v>
      </c>
      <c r="Y17" s="24">
        <v>3.7872340426000002</v>
      </c>
      <c r="Z17" s="24">
        <v>4.0652173913</v>
      </c>
      <c r="AA17" s="24">
        <v>4.0652173913</v>
      </c>
      <c r="AB17" s="24">
        <v>920.86</v>
      </c>
      <c r="AC17" s="24">
        <v>4.2850670939904392</v>
      </c>
      <c r="AD17" s="24">
        <v>923.89</v>
      </c>
      <c r="AE17" s="24">
        <v>920.86</v>
      </c>
      <c r="AF17" s="24">
        <v>919.34500000000003</v>
      </c>
      <c r="AG17" s="24">
        <v>917.83</v>
      </c>
    </row>
    <row r="18" spans="1:33">
      <c r="A18" s="66"/>
      <c r="B18" s="23" t="s">
        <v>41</v>
      </c>
      <c r="C18" s="23">
        <v>5</v>
      </c>
      <c r="D18" s="23">
        <v>5</v>
      </c>
      <c r="E18" s="27">
        <v>22</v>
      </c>
      <c r="F18" s="31">
        <v>4.4000000000000004</v>
      </c>
      <c r="G18" s="23" t="s">
        <v>77</v>
      </c>
      <c r="H18" s="27">
        <v>5</v>
      </c>
      <c r="I18" s="33">
        <v>9</v>
      </c>
      <c r="J18" s="24">
        <v>4.1030305739399999</v>
      </c>
      <c r="K18" s="24">
        <v>0.31473848650649427</v>
      </c>
      <c r="L18" s="24">
        <v>3.7021276595999999</v>
      </c>
      <c r="M18" s="24">
        <v>4.1666666667000003</v>
      </c>
      <c r="N18" s="24">
        <v>4.3725490196000001</v>
      </c>
      <c r="O18" s="24">
        <v>4.4166666667000003</v>
      </c>
      <c r="P18" s="24">
        <v>917.71080000000006</v>
      </c>
      <c r="Q18" s="24">
        <v>7.2471099550096616</v>
      </c>
      <c r="R18" s="24">
        <v>929.13800000000003</v>
      </c>
      <c r="S18" s="24">
        <v>916.17</v>
      </c>
      <c r="T18" s="24">
        <v>911.94899999999996</v>
      </c>
      <c r="U18" s="24">
        <v>911.44</v>
      </c>
      <c r="V18" s="24">
        <v>4.7553231292600007</v>
      </c>
      <c r="W18" s="24">
        <v>0.70781004204015052</v>
      </c>
      <c r="X18" s="24">
        <v>3.8571428570999999</v>
      </c>
      <c r="Y18" s="24">
        <v>4.8367346939000004</v>
      </c>
      <c r="Z18" s="24">
        <v>5.3541666667000003</v>
      </c>
      <c r="AA18" s="24">
        <v>5.5</v>
      </c>
      <c r="AB18" s="24">
        <v>889.97180000000003</v>
      </c>
      <c r="AC18" s="24">
        <v>19.150253306418691</v>
      </c>
      <c r="AD18" s="24">
        <v>919.85699999999997</v>
      </c>
      <c r="AE18" s="24">
        <v>878.95799999999997</v>
      </c>
      <c r="AF18" s="24">
        <v>877.97299999999996</v>
      </c>
      <c r="AG18" s="24">
        <v>874.6</v>
      </c>
    </row>
    <row r="19" spans="1:33">
      <c r="A19" s="65"/>
      <c r="B19" s="23" t="s">
        <v>43</v>
      </c>
      <c r="C19" s="23">
        <v>5</v>
      </c>
      <c r="D19" s="23">
        <v>5</v>
      </c>
      <c r="E19" s="27">
        <v>23</v>
      </c>
      <c r="F19" s="31">
        <v>4.5999999999999996</v>
      </c>
      <c r="G19" s="23" t="s">
        <v>77</v>
      </c>
      <c r="H19" s="27">
        <v>5</v>
      </c>
      <c r="I19" s="33">
        <v>3</v>
      </c>
      <c r="J19" s="24">
        <v>4.6632654993399996</v>
      </c>
      <c r="K19" s="24">
        <v>0.49946982323462019</v>
      </c>
      <c r="L19" s="24">
        <v>3.8913043477999998</v>
      </c>
      <c r="M19" s="24">
        <v>4.6666666667000003</v>
      </c>
      <c r="N19" s="24">
        <v>5.0588235293999997</v>
      </c>
      <c r="O19" s="24">
        <v>5.1463414633999998</v>
      </c>
      <c r="P19" s="24">
        <v>903.73699999999985</v>
      </c>
      <c r="Q19" s="24">
        <v>13.340234330775431</v>
      </c>
      <c r="R19" s="24">
        <v>924.58799999999997</v>
      </c>
      <c r="S19" s="24">
        <v>903.07</v>
      </c>
      <c r="T19" s="24">
        <v>894.04700000000003</v>
      </c>
      <c r="U19" s="24">
        <v>890.5</v>
      </c>
      <c r="V19" s="24">
        <v>5.0765943733599999</v>
      </c>
      <c r="W19" s="24">
        <v>0.31650804910170433</v>
      </c>
      <c r="X19" s="24">
        <v>4.5531914893999996</v>
      </c>
      <c r="Y19" s="24">
        <v>5.1463414633999998</v>
      </c>
      <c r="Z19" s="24">
        <v>5.24</v>
      </c>
      <c r="AA19" s="24">
        <v>5.3846153846</v>
      </c>
      <c r="AB19" s="24">
        <v>891.79000000000019</v>
      </c>
      <c r="AC19" s="24">
        <v>9.288810984189535</v>
      </c>
      <c r="AD19" s="24">
        <v>906.48</v>
      </c>
      <c r="AE19" s="24">
        <v>890.5</v>
      </c>
      <c r="AF19" s="24">
        <v>884</v>
      </c>
      <c r="AG19" s="24">
        <v>883.923</v>
      </c>
    </row>
    <row r="20" spans="1:33" ht="33">
      <c r="A20" s="64" t="s">
        <v>44</v>
      </c>
      <c r="B20" s="22" t="s">
        <v>125</v>
      </c>
      <c r="C20" s="23">
        <v>7</v>
      </c>
      <c r="D20" s="23">
        <v>7</v>
      </c>
      <c r="E20" s="27">
        <v>32</v>
      </c>
      <c r="F20" s="31">
        <v>4.5714285714285712</v>
      </c>
      <c r="G20" s="23" t="s">
        <v>77</v>
      </c>
      <c r="H20" s="27">
        <v>6</v>
      </c>
      <c r="I20" s="33">
        <v>7</v>
      </c>
      <c r="J20" s="24">
        <v>3.7492855938999998</v>
      </c>
      <c r="K20" s="24">
        <v>0.53322270026596807</v>
      </c>
      <c r="L20" s="24">
        <v>2.8</v>
      </c>
      <c r="M20" s="24">
        <v>3.8372093022999998</v>
      </c>
      <c r="N20" s="24">
        <v>4.2608695652000002</v>
      </c>
      <c r="O20" s="24">
        <v>4.3125</v>
      </c>
      <c r="P20" s="24">
        <v>926.41171428571408</v>
      </c>
      <c r="Q20" s="24">
        <v>12.687226367680269</v>
      </c>
      <c r="R20" s="24">
        <v>946.4</v>
      </c>
      <c r="S20" s="24">
        <v>924.94899999999996</v>
      </c>
      <c r="T20" s="24">
        <v>913.64</v>
      </c>
      <c r="U20" s="24">
        <v>912.76800000000003</v>
      </c>
      <c r="V20" s="24">
        <v>4.0793851236000007</v>
      </c>
      <c r="W20" s="24">
        <v>0.68132047544202301</v>
      </c>
      <c r="X20" s="24">
        <v>2.8</v>
      </c>
      <c r="Y20" s="24">
        <v>4.2608695652000002</v>
      </c>
      <c r="Z20" s="24">
        <v>4.5208333332999997</v>
      </c>
      <c r="AA20" s="24">
        <v>4.6862745097999996</v>
      </c>
      <c r="AB20" s="24">
        <v>917.25283333333334</v>
      </c>
      <c r="AC20" s="24">
        <v>15.568749730362629</v>
      </c>
      <c r="AD20" s="24">
        <v>946.4</v>
      </c>
      <c r="AE20" s="24">
        <v>913.20399999999995</v>
      </c>
      <c r="AF20" s="24">
        <v>907.99199999999996</v>
      </c>
      <c r="AG20" s="24">
        <v>903.226</v>
      </c>
    </row>
    <row r="21" spans="1:33" ht="49.5">
      <c r="A21" s="66"/>
      <c r="B21" s="22" t="s">
        <v>126</v>
      </c>
      <c r="C21" s="23">
        <v>19</v>
      </c>
      <c r="D21" s="23">
        <v>17</v>
      </c>
      <c r="E21" s="27">
        <v>44</v>
      </c>
      <c r="F21" s="31">
        <v>2.5882352941176472</v>
      </c>
      <c r="G21" s="23" t="s">
        <v>77</v>
      </c>
      <c r="H21" s="27">
        <v>16</v>
      </c>
      <c r="I21" s="33">
        <v>8</v>
      </c>
      <c r="J21" s="24">
        <v>4.7472712173176479</v>
      </c>
      <c r="K21" s="24">
        <v>0.57732871688777532</v>
      </c>
      <c r="L21" s="24">
        <v>3.2553191489</v>
      </c>
      <c r="M21" s="24">
        <v>4.9565217391000003</v>
      </c>
      <c r="N21" s="24">
        <v>5.0638297872000004</v>
      </c>
      <c r="O21" s="24">
        <v>5.3414634145999997</v>
      </c>
      <c r="P21" s="24">
        <v>900.29300000000001</v>
      </c>
      <c r="Q21" s="24">
        <v>14.88896146478994</v>
      </c>
      <c r="R21" s="24">
        <v>941.59199999999998</v>
      </c>
      <c r="S21" s="24">
        <v>894.154</v>
      </c>
      <c r="T21" s="24">
        <v>890.63400000000001</v>
      </c>
      <c r="U21" s="24">
        <v>886.60500000000002</v>
      </c>
      <c r="V21" s="24">
        <v>4.9650231419812503</v>
      </c>
      <c r="W21" s="24">
        <v>0.50594501728801888</v>
      </c>
      <c r="X21" s="24">
        <v>3.6749999999999998</v>
      </c>
      <c r="Y21" s="24">
        <v>5.0638297872000004</v>
      </c>
      <c r="Z21" s="24">
        <v>5.2888888888999999</v>
      </c>
      <c r="AA21" s="24">
        <v>5.3695652173999999</v>
      </c>
      <c r="AB21" s="24">
        <v>890.56968749999999</v>
      </c>
      <c r="AC21" s="24">
        <v>9.3128934831858992</v>
      </c>
      <c r="AD21" s="24">
        <v>917.87699999999995</v>
      </c>
      <c r="AE21" s="24">
        <v>888.08550000000002</v>
      </c>
      <c r="AF21" s="24">
        <v>884.72124999999994</v>
      </c>
      <c r="AG21" s="24">
        <v>880.39200000000005</v>
      </c>
    </row>
    <row r="22" spans="1:33" ht="33">
      <c r="A22" s="65"/>
      <c r="B22" s="22" t="s">
        <v>127</v>
      </c>
      <c r="C22" s="23">
        <v>10</v>
      </c>
      <c r="D22" s="23">
        <v>10</v>
      </c>
      <c r="E22" s="27">
        <v>48</v>
      </c>
      <c r="F22" s="31">
        <v>4.8</v>
      </c>
      <c r="G22" s="23" t="s">
        <v>77</v>
      </c>
      <c r="H22" s="27">
        <v>9</v>
      </c>
      <c r="I22" s="33">
        <v>12</v>
      </c>
      <c r="J22" s="24">
        <v>3.5993792658100001</v>
      </c>
      <c r="K22" s="24">
        <v>0.2031425817434189</v>
      </c>
      <c r="L22" s="24">
        <v>3.2941176471000002</v>
      </c>
      <c r="M22" s="24">
        <v>3.5111111111</v>
      </c>
      <c r="N22" s="24">
        <v>3.7659574467999999</v>
      </c>
      <c r="O22" s="24">
        <v>4</v>
      </c>
      <c r="P22" s="24">
        <v>930.15550000000007</v>
      </c>
      <c r="Q22" s="24">
        <v>3.751668377017233</v>
      </c>
      <c r="R22" s="24">
        <v>935.875</v>
      </c>
      <c r="S22" s="24">
        <v>931.23500000000001</v>
      </c>
      <c r="T22" s="24">
        <v>927.81600000000003</v>
      </c>
      <c r="U22" s="24">
        <v>923.90899999999999</v>
      </c>
      <c r="V22" s="24">
        <v>4.6434775031555553</v>
      </c>
      <c r="W22" s="24">
        <v>0.50297455480743125</v>
      </c>
      <c r="X22" s="24">
        <v>3.4680851063999998</v>
      </c>
      <c r="Y22" s="24">
        <v>4.8510638298000002</v>
      </c>
      <c r="Z22" s="24">
        <v>4.9574468085000003</v>
      </c>
      <c r="AA22" s="24">
        <v>5.0869565217000003</v>
      </c>
      <c r="AB22" s="24">
        <v>902.82533333333333</v>
      </c>
      <c r="AC22" s="24">
        <v>12.283330146991901</v>
      </c>
      <c r="AD22" s="24">
        <v>931.23500000000001</v>
      </c>
      <c r="AE22" s="24">
        <v>896.03700000000003</v>
      </c>
      <c r="AF22" s="24">
        <v>894.26499999999999</v>
      </c>
      <c r="AG22" s="24">
        <v>893.87</v>
      </c>
    </row>
    <row r="23" spans="1:33">
      <c r="A23" s="23" t="s">
        <v>45</v>
      </c>
      <c r="B23" s="23" t="s">
        <v>48</v>
      </c>
      <c r="C23" s="23">
        <v>5</v>
      </c>
      <c r="D23" s="23">
        <v>5</v>
      </c>
      <c r="E23" s="27">
        <v>49</v>
      </c>
      <c r="F23" s="31">
        <v>9.8000000000000007</v>
      </c>
      <c r="G23" s="23" t="s">
        <v>77</v>
      </c>
      <c r="H23" s="27">
        <v>5</v>
      </c>
      <c r="I23" s="33">
        <v>8</v>
      </c>
      <c r="J23" s="24">
        <v>3.63630505254</v>
      </c>
      <c r="K23" s="24">
        <v>0.33094809379374007</v>
      </c>
      <c r="L23" s="24">
        <v>3.1515151514999999</v>
      </c>
      <c r="M23" s="24">
        <v>3.62</v>
      </c>
      <c r="N23" s="24">
        <v>3.9347826087</v>
      </c>
      <c r="O23" s="24">
        <v>3.9534883720999998</v>
      </c>
      <c r="P23" s="24">
        <v>930.17559999999992</v>
      </c>
      <c r="Q23" s="24">
        <v>7.0010724035679086</v>
      </c>
      <c r="R23" s="24">
        <v>940.40899999999999</v>
      </c>
      <c r="S23" s="24">
        <v>928.98099999999999</v>
      </c>
      <c r="T23" s="24">
        <v>924.06299999999999</v>
      </c>
      <c r="U23" s="24">
        <v>923.8</v>
      </c>
      <c r="V23" s="24">
        <v>4.2357523056600002</v>
      </c>
      <c r="W23" s="24">
        <v>0.66875830672922465</v>
      </c>
      <c r="X23" s="24">
        <v>3.1515151514999999</v>
      </c>
      <c r="Y23" s="24">
        <v>4.625</v>
      </c>
      <c r="Z23" s="24">
        <v>4.6739130434999998</v>
      </c>
      <c r="AA23" s="24">
        <v>4.7083333332999997</v>
      </c>
      <c r="AB23" s="24">
        <v>914.35540000000003</v>
      </c>
      <c r="AC23" s="24">
        <v>16.069163444311581</v>
      </c>
      <c r="AD23" s="24">
        <v>940.40899999999999</v>
      </c>
      <c r="AE23" s="24">
        <v>904.24</v>
      </c>
      <c r="AF23" s="24">
        <v>903.88</v>
      </c>
      <c r="AG23" s="24">
        <v>903.65200000000004</v>
      </c>
    </row>
    <row r="24" spans="1:33">
      <c r="A24" s="64" t="s">
        <v>49</v>
      </c>
      <c r="B24" s="23" t="s">
        <v>67</v>
      </c>
      <c r="C24" s="23">
        <v>9</v>
      </c>
      <c r="D24" s="23">
        <v>9</v>
      </c>
      <c r="E24" s="27">
        <v>129</v>
      </c>
      <c r="F24" s="31">
        <v>14.333333333333334</v>
      </c>
      <c r="G24" s="23">
        <v>53</v>
      </c>
      <c r="H24" s="27">
        <v>9</v>
      </c>
      <c r="I24" s="33">
        <v>16</v>
      </c>
      <c r="J24" s="24">
        <v>1.132643127111111</v>
      </c>
      <c r="K24" s="24">
        <v>6.6217753752035577E-2</v>
      </c>
      <c r="L24" s="24">
        <v>1.0238095238</v>
      </c>
      <c r="M24" s="24">
        <v>1.1702127659999999</v>
      </c>
      <c r="N24" s="24">
        <v>1.1827956988999999</v>
      </c>
      <c r="O24" s="24">
        <v>1.1875</v>
      </c>
      <c r="P24" s="24">
        <v>996.49355555555564</v>
      </c>
      <c r="Q24" s="24">
        <v>1.750910271195445</v>
      </c>
      <c r="R24" s="24">
        <v>999.37199999999996</v>
      </c>
      <c r="S24" s="24">
        <v>995.5</v>
      </c>
      <c r="T24" s="24">
        <v>995.16800000000001</v>
      </c>
      <c r="U24" s="24">
        <v>995.04100000000005</v>
      </c>
      <c r="V24" s="24">
        <v>1.241551366233334</v>
      </c>
      <c r="W24" s="24">
        <v>0.1012413477368789</v>
      </c>
      <c r="X24" s="24">
        <v>1.0380952380999999</v>
      </c>
      <c r="Y24" s="24">
        <v>1.2448979592</v>
      </c>
      <c r="Z24" s="24">
        <v>1.3218390805</v>
      </c>
      <c r="AA24" s="24">
        <v>1.375</v>
      </c>
      <c r="AB24" s="24">
        <v>993.34411111111103</v>
      </c>
      <c r="AC24" s="24">
        <v>2.694839997311735</v>
      </c>
      <c r="AD24" s="24">
        <v>998.99099999999999</v>
      </c>
      <c r="AE24" s="24">
        <v>993.52</v>
      </c>
      <c r="AF24" s="24">
        <v>991.48900000000003</v>
      </c>
      <c r="AG24" s="24">
        <v>990.08199999999999</v>
      </c>
    </row>
    <row r="25" spans="1:33">
      <c r="A25" s="65"/>
      <c r="B25" s="23" t="s">
        <v>50</v>
      </c>
      <c r="C25" s="23">
        <v>8</v>
      </c>
      <c r="D25" s="23">
        <v>8</v>
      </c>
      <c r="E25" s="27">
        <v>112</v>
      </c>
      <c r="F25" s="31">
        <v>14</v>
      </c>
      <c r="G25" s="23" t="s">
        <v>77</v>
      </c>
      <c r="H25" s="27">
        <v>8</v>
      </c>
      <c r="I25" s="33">
        <v>20</v>
      </c>
      <c r="J25" s="24">
        <v>2.8691953047999998</v>
      </c>
      <c r="K25" s="24">
        <v>0.40226111275717402</v>
      </c>
      <c r="L25" s="24">
        <v>2.1960784314000001</v>
      </c>
      <c r="M25" s="24">
        <v>2.9777777778000001</v>
      </c>
      <c r="N25" s="24">
        <v>3.1428571429000001</v>
      </c>
      <c r="O25" s="24">
        <v>3.3260869565000002</v>
      </c>
      <c r="P25" s="24">
        <v>950.782375</v>
      </c>
      <c r="Q25" s="24">
        <v>10.33168618429316</v>
      </c>
      <c r="R25" s="24">
        <v>968.92499999999995</v>
      </c>
      <c r="S25" s="24">
        <v>948.87199999999996</v>
      </c>
      <c r="T25" s="24">
        <v>944.41200000000003</v>
      </c>
      <c r="U25" s="24">
        <v>939.81299999999999</v>
      </c>
      <c r="V25" s="24">
        <v>3.3846437276625001</v>
      </c>
      <c r="W25" s="24">
        <v>0.46934453909431761</v>
      </c>
      <c r="X25" s="24">
        <v>2.3333333333000001</v>
      </c>
      <c r="Y25" s="24">
        <v>3.4042553190999998</v>
      </c>
      <c r="Z25" s="24">
        <v>3.6122448980000001</v>
      </c>
      <c r="AA25" s="24">
        <v>3.8723404255</v>
      </c>
      <c r="AB25" s="24">
        <v>932.99275000000011</v>
      </c>
      <c r="AC25" s="24">
        <v>5.7416434618371346</v>
      </c>
      <c r="AD25" s="24">
        <v>939.81299999999999</v>
      </c>
      <c r="AE25" s="24">
        <v>934.06950000000006</v>
      </c>
      <c r="AF25" s="24">
        <v>927.6422500000001</v>
      </c>
      <c r="AG25" s="24">
        <v>925.61199999999997</v>
      </c>
    </row>
    <row r="26" spans="1:33">
      <c r="A26" s="23" t="s">
        <v>111</v>
      </c>
      <c r="B26" s="23" t="s">
        <v>62</v>
      </c>
      <c r="C26" s="23">
        <v>8</v>
      </c>
      <c r="D26" s="23">
        <v>14</v>
      </c>
      <c r="E26" s="27">
        <v>102</v>
      </c>
      <c r="F26" s="31">
        <v>7.2857142857142856</v>
      </c>
      <c r="G26" s="23" t="s">
        <v>77</v>
      </c>
      <c r="H26" s="27">
        <v>14</v>
      </c>
      <c r="I26" s="33">
        <v>26</v>
      </c>
      <c r="J26" s="24">
        <v>3.9207836417571431</v>
      </c>
      <c r="K26" s="24">
        <v>0.31006463276170482</v>
      </c>
      <c r="L26" s="24">
        <v>3.1914893617</v>
      </c>
      <c r="M26" s="24">
        <v>3.9803921568999998</v>
      </c>
      <c r="N26" s="24">
        <v>4.1875</v>
      </c>
      <c r="O26" s="24">
        <v>4.2391304347999998</v>
      </c>
      <c r="P26" s="24">
        <v>923.35199999999998</v>
      </c>
      <c r="Q26" s="24">
        <v>8.272561123283495</v>
      </c>
      <c r="R26" s="24">
        <v>943.245</v>
      </c>
      <c r="S26" s="24">
        <v>921.54700000000003</v>
      </c>
      <c r="T26" s="24">
        <v>916.84</v>
      </c>
      <c r="U26" s="24">
        <v>915.56399999999996</v>
      </c>
      <c r="V26" s="24">
        <v>4.3222736208999999</v>
      </c>
      <c r="W26" s="24">
        <v>0.3101378892937921</v>
      </c>
      <c r="X26" s="24">
        <v>3.5869565216999999</v>
      </c>
      <c r="Y26" s="24">
        <v>4.3877551019999999</v>
      </c>
      <c r="Z26" s="24">
        <v>4.5208333332999997</v>
      </c>
      <c r="AA26" s="24">
        <v>4.7111111111000001</v>
      </c>
      <c r="AB26" s="24">
        <v>911.85371428571432</v>
      </c>
      <c r="AC26" s="24">
        <v>8.6325099160411849</v>
      </c>
      <c r="AD26" s="24">
        <v>933.06299999999999</v>
      </c>
      <c r="AE26" s="24">
        <v>909.91599999999994</v>
      </c>
      <c r="AF26" s="24">
        <v>905.52250000000004</v>
      </c>
      <c r="AG26" s="24">
        <v>903</v>
      </c>
    </row>
    <row r="27" spans="1:33">
      <c r="A27" s="64" t="s">
        <v>51</v>
      </c>
      <c r="B27" s="23" t="s">
        <v>52</v>
      </c>
      <c r="C27" s="23">
        <v>5</v>
      </c>
      <c r="D27" s="23">
        <v>5</v>
      </c>
      <c r="E27" s="27">
        <v>34</v>
      </c>
      <c r="F27" s="31">
        <v>6.8</v>
      </c>
      <c r="G27" s="23" t="s">
        <v>77</v>
      </c>
      <c r="H27" s="27">
        <v>5</v>
      </c>
      <c r="I27" s="33">
        <v>8</v>
      </c>
      <c r="J27" s="24">
        <v>3.88615864942</v>
      </c>
      <c r="K27" s="24">
        <v>0.16199490310681389</v>
      </c>
      <c r="L27" s="24">
        <v>3.6875</v>
      </c>
      <c r="M27" s="24">
        <v>3.8478260870000001</v>
      </c>
      <c r="N27" s="24">
        <v>3.9782608696000001</v>
      </c>
      <c r="O27" s="24">
        <v>4.1086956521999998</v>
      </c>
      <c r="P27" s="24">
        <v>924.33980000000008</v>
      </c>
      <c r="Q27" s="24">
        <v>4.2635864245960953</v>
      </c>
      <c r="R27" s="24">
        <v>930.34</v>
      </c>
      <c r="S27" s="24">
        <v>924.928</v>
      </c>
      <c r="T27" s="24">
        <v>922.18799999999999</v>
      </c>
      <c r="U27" s="24">
        <v>918.81299999999999</v>
      </c>
      <c r="V27" s="24">
        <v>4.3046132128799997</v>
      </c>
      <c r="W27" s="24">
        <v>0.63415638310377287</v>
      </c>
      <c r="X27" s="24">
        <v>3.2857142857000001</v>
      </c>
      <c r="Y27" s="24">
        <v>4.5999999999999996</v>
      </c>
      <c r="Z27" s="24">
        <v>4.6590909090999997</v>
      </c>
      <c r="AA27" s="24">
        <v>4.8695652173999999</v>
      </c>
      <c r="AB27" s="24">
        <v>905.92139999999995</v>
      </c>
      <c r="AC27" s="24">
        <v>7.7289458078058644</v>
      </c>
      <c r="AD27" s="24">
        <v>918.81299999999999</v>
      </c>
      <c r="AE27" s="24">
        <v>904.61800000000005</v>
      </c>
      <c r="AF27" s="24">
        <v>900.05700000000002</v>
      </c>
      <c r="AG27" s="24">
        <v>899.875</v>
      </c>
    </row>
    <row r="28" spans="1:33">
      <c r="A28" s="66"/>
      <c r="B28" s="23" t="s">
        <v>53</v>
      </c>
      <c r="C28" s="23">
        <v>6</v>
      </c>
      <c r="D28" s="23">
        <v>6</v>
      </c>
      <c r="E28" s="27">
        <v>53</v>
      </c>
      <c r="F28" s="31">
        <v>8.8333333333333339</v>
      </c>
      <c r="G28" s="23" t="s">
        <v>77</v>
      </c>
      <c r="H28" s="27">
        <v>6</v>
      </c>
      <c r="I28" s="33">
        <v>10</v>
      </c>
      <c r="J28" s="24">
        <v>1.8377904904666671</v>
      </c>
      <c r="K28" s="24">
        <v>0.23444164762807501</v>
      </c>
      <c r="L28" s="24">
        <v>1.4705882352999999</v>
      </c>
      <c r="M28" s="24">
        <v>1.7878787879</v>
      </c>
      <c r="N28" s="24">
        <v>2.0806451613000001</v>
      </c>
      <c r="O28" s="24">
        <v>2.1020408163000002</v>
      </c>
      <c r="P28" s="24">
        <v>976.99683333333326</v>
      </c>
      <c r="Q28" s="24">
        <v>6.6618957487089769</v>
      </c>
      <c r="R28" s="24">
        <v>985.79399999999998</v>
      </c>
      <c r="S28" s="24">
        <v>978.72699999999998</v>
      </c>
      <c r="T28" s="24">
        <v>970.88199999999995</v>
      </c>
      <c r="U28" s="24">
        <v>967.58100000000002</v>
      </c>
      <c r="V28" s="24">
        <v>2.4613127610499999</v>
      </c>
      <c r="W28" s="24">
        <v>0.31617184774710322</v>
      </c>
      <c r="X28" s="24">
        <v>1.8409090909000001</v>
      </c>
      <c r="Y28" s="24">
        <v>2.5348837208999999</v>
      </c>
      <c r="Z28" s="24">
        <v>2.6458333333000001</v>
      </c>
      <c r="AA28" s="24">
        <v>2.7083333333000001</v>
      </c>
      <c r="AB28" s="24">
        <v>961.86566666666658</v>
      </c>
      <c r="AC28" s="24">
        <v>8.3579943686668372</v>
      </c>
      <c r="AD28" s="24">
        <v>978.28300000000002</v>
      </c>
      <c r="AE28" s="24">
        <v>959.3</v>
      </c>
      <c r="AF28" s="24">
        <v>957.55500000000006</v>
      </c>
      <c r="AG28" s="24">
        <v>955.25800000000004</v>
      </c>
    </row>
    <row r="29" spans="1:33">
      <c r="A29" s="66"/>
      <c r="B29" s="23" t="s">
        <v>54</v>
      </c>
      <c r="C29" s="23">
        <v>4</v>
      </c>
      <c r="D29" s="23">
        <v>4</v>
      </c>
      <c r="E29" s="27">
        <v>42</v>
      </c>
      <c r="F29" s="31">
        <v>10.5</v>
      </c>
      <c r="G29" s="23" t="s">
        <v>77</v>
      </c>
      <c r="H29" s="27">
        <v>4</v>
      </c>
      <c r="I29" s="33">
        <v>5</v>
      </c>
      <c r="J29" s="24">
        <v>3.4242617665999999</v>
      </c>
      <c r="K29" s="24">
        <v>0.34680601363003588</v>
      </c>
      <c r="L29" s="24">
        <v>3.12</v>
      </c>
      <c r="M29" s="24">
        <v>3.1515151514999999</v>
      </c>
      <c r="N29" s="24">
        <v>3.5957446809000002</v>
      </c>
      <c r="O29" s="24">
        <v>3.8297872339999999</v>
      </c>
      <c r="P29" s="24">
        <v>933.89024999999992</v>
      </c>
      <c r="Q29" s="24">
        <v>6.8232034692901644</v>
      </c>
      <c r="R29" s="24">
        <v>943.16200000000003</v>
      </c>
      <c r="S29" s="24">
        <v>932.90899999999999</v>
      </c>
      <c r="T29" s="24">
        <v>932.77599999999995</v>
      </c>
      <c r="U29" s="24">
        <v>926.71400000000006</v>
      </c>
      <c r="V29" s="24">
        <v>3.9249652777750001</v>
      </c>
      <c r="W29" s="24">
        <v>0.2721953023059881</v>
      </c>
      <c r="X29" s="24">
        <v>3.71875</v>
      </c>
      <c r="Y29" s="24">
        <v>3.75</v>
      </c>
      <c r="Z29" s="24">
        <v>3.92</v>
      </c>
      <c r="AA29" s="24">
        <v>4.3111111110999998</v>
      </c>
      <c r="AB29" s="24">
        <v>921.30250000000001</v>
      </c>
      <c r="AC29" s="24">
        <v>5.2156460449944886</v>
      </c>
      <c r="AD29" s="24">
        <v>926.62</v>
      </c>
      <c r="AE29" s="24">
        <v>922.09300000000007</v>
      </c>
      <c r="AF29" s="24">
        <v>919.04650000000004</v>
      </c>
      <c r="AG29" s="24">
        <v>914.404</v>
      </c>
    </row>
    <row r="30" spans="1:33">
      <c r="A30" s="66"/>
      <c r="B30" s="23" t="s">
        <v>55</v>
      </c>
      <c r="C30" s="23">
        <v>5</v>
      </c>
      <c r="D30" s="23">
        <v>5</v>
      </c>
      <c r="E30" s="27">
        <v>46</v>
      </c>
      <c r="F30" s="31">
        <v>9.1999999999999993</v>
      </c>
      <c r="G30" s="23" t="s">
        <v>77</v>
      </c>
      <c r="H30" s="27">
        <v>5</v>
      </c>
      <c r="I30" s="33">
        <v>1</v>
      </c>
      <c r="J30" s="24">
        <v>4.4242373316999997</v>
      </c>
      <c r="K30" s="24">
        <v>0.1779914200777471</v>
      </c>
      <c r="L30" s="24">
        <v>4.1777777778000003</v>
      </c>
      <c r="M30" s="24">
        <v>4.5333333332999999</v>
      </c>
      <c r="N30" s="24">
        <v>4.5531914893999996</v>
      </c>
      <c r="O30" s="24">
        <v>4.5652173913</v>
      </c>
      <c r="P30" s="24">
        <v>910.50679999999988</v>
      </c>
      <c r="Q30" s="24">
        <v>4.2268642869153137</v>
      </c>
      <c r="R30" s="24">
        <v>916.41600000000005</v>
      </c>
      <c r="S30" s="24">
        <v>908.23099999999999</v>
      </c>
      <c r="T30" s="24">
        <v>907.42899999999997</v>
      </c>
      <c r="U30" s="24">
        <v>906.93200000000002</v>
      </c>
      <c r="V30" s="24">
        <v>4.4788164251199998</v>
      </c>
      <c r="W30" s="24">
        <v>0.25331963083040532</v>
      </c>
      <c r="X30" s="24">
        <v>4.1777777778000003</v>
      </c>
      <c r="Y30" s="24">
        <v>4.5333333332999999</v>
      </c>
      <c r="Z30" s="24">
        <v>4.5652173913</v>
      </c>
      <c r="AA30" s="24">
        <v>4.8260869565000002</v>
      </c>
      <c r="AB30" s="24">
        <v>909.22099999999989</v>
      </c>
      <c r="AC30" s="24">
        <v>6.0021977641527338</v>
      </c>
      <c r="AD30" s="24">
        <v>916.41600000000005</v>
      </c>
      <c r="AE30" s="24">
        <v>908.23099999999999</v>
      </c>
      <c r="AF30" s="24">
        <v>906.93200000000002</v>
      </c>
      <c r="AG30" s="24">
        <v>901</v>
      </c>
    </row>
    <row r="31" spans="1:33">
      <c r="A31" s="65"/>
      <c r="B31" s="23" t="s">
        <v>56</v>
      </c>
      <c r="C31" s="23">
        <v>4</v>
      </c>
      <c r="D31" s="23">
        <v>5</v>
      </c>
      <c r="E31" s="27">
        <v>93</v>
      </c>
      <c r="F31" s="31">
        <v>18.600000000000001</v>
      </c>
      <c r="G31" s="23" t="s">
        <v>77</v>
      </c>
      <c r="H31" s="27">
        <v>5</v>
      </c>
      <c r="I31" s="33">
        <v>12</v>
      </c>
      <c r="J31" s="24">
        <v>2.5986702127600001</v>
      </c>
      <c r="K31" s="24">
        <v>0.34676716192654089</v>
      </c>
      <c r="L31" s="24">
        <v>2.0416666666999999</v>
      </c>
      <c r="M31" s="24">
        <v>2.6458333333000001</v>
      </c>
      <c r="N31" s="24">
        <v>2.6808510638</v>
      </c>
      <c r="O31" s="24">
        <v>3</v>
      </c>
      <c r="P31" s="24">
        <v>956.34520000000009</v>
      </c>
      <c r="Q31" s="24">
        <v>6.9133192245114543</v>
      </c>
      <c r="R31" s="24">
        <v>966.82399999999996</v>
      </c>
      <c r="S31" s="24">
        <v>956.46900000000005</v>
      </c>
      <c r="T31" s="24">
        <v>953.98</v>
      </c>
      <c r="U31" s="24">
        <v>947.65300000000002</v>
      </c>
      <c r="V31" s="24">
        <v>3.18384353742</v>
      </c>
      <c r="W31" s="24">
        <v>0.72879027540785923</v>
      </c>
      <c r="X31" s="24">
        <v>2.0416666666999999</v>
      </c>
      <c r="Y31" s="24">
        <v>3.2708333333000001</v>
      </c>
      <c r="Z31" s="24">
        <v>3.7291666666999999</v>
      </c>
      <c r="AA31" s="24">
        <v>3.8775510203999999</v>
      </c>
      <c r="AB31" s="24">
        <v>941.58440000000007</v>
      </c>
      <c r="AC31" s="24">
        <v>16.558911507100941</v>
      </c>
      <c r="AD31" s="24">
        <v>966.82399999999996</v>
      </c>
      <c r="AE31" s="24">
        <v>938.83199999999999</v>
      </c>
      <c r="AF31" s="24">
        <v>929.26</v>
      </c>
      <c r="AG31" s="24">
        <v>925.35299999999995</v>
      </c>
    </row>
    <row r="32" spans="1:33">
      <c r="A32" s="23" t="s">
        <v>57</v>
      </c>
      <c r="B32" s="23" t="s">
        <v>58</v>
      </c>
      <c r="C32" s="23">
        <v>6</v>
      </c>
      <c r="D32" s="23">
        <v>6</v>
      </c>
      <c r="E32" s="27">
        <v>53</v>
      </c>
      <c r="F32" s="31">
        <v>8.8333333333333339</v>
      </c>
      <c r="G32" s="23" t="s">
        <v>77</v>
      </c>
      <c r="H32" s="27">
        <v>6</v>
      </c>
      <c r="I32" s="33">
        <v>8</v>
      </c>
      <c r="J32" s="24">
        <v>4.0001372419833334</v>
      </c>
      <c r="K32" s="24">
        <v>0.21976728930396441</v>
      </c>
      <c r="L32" s="24">
        <v>3.7083333333000001</v>
      </c>
      <c r="M32" s="24">
        <v>3.9393939393999999</v>
      </c>
      <c r="N32" s="24">
        <v>4.1739130434999998</v>
      </c>
      <c r="O32" s="24">
        <v>4.2173913043000004</v>
      </c>
      <c r="P32" s="24">
        <v>918.69366666666667</v>
      </c>
      <c r="Q32" s="24">
        <v>5.1065175870319681</v>
      </c>
      <c r="R32" s="24">
        <v>925.72</v>
      </c>
      <c r="S32" s="24">
        <v>916.56299999999999</v>
      </c>
      <c r="T32" s="24">
        <v>915.25</v>
      </c>
      <c r="U32" s="24">
        <v>914.63599999999997</v>
      </c>
      <c r="V32" s="24">
        <v>4.4403940538500004</v>
      </c>
      <c r="W32" s="24">
        <v>0.2127181842135151</v>
      </c>
      <c r="X32" s="24">
        <v>4.1739130434999998</v>
      </c>
      <c r="Y32" s="24">
        <v>4.3958333332999997</v>
      </c>
      <c r="Z32" s="24">
        <v>4.6521739130000004</v>
      </c>
      <c r="AA32" s="24">
        <v>4.6595744680999998</v>
      </c>
      <c r="AB32" s="24">
        <v>908.53216666666674</v>
      </c>
      <c r="AC32" s="24">
        <v>6.017749659687281</v>
      </c>
      <c r="AD32" s="24">
        <v>916.56299999999999</v>
      </c>
      <c r="AE32" s="24">
        <v>906.26350000000002</v>
      </c>
      <c r="AF32" s="24">
        <v>904.0385</v>
      </c>
      <c r="AG32" s="24">
        <v>902.87300000000005</v>
      </c>
    </row>
    <row r="33" spans="1:33">
      <c r="A33" s="23" t="s">
        <v>63</v>
      </c>
      <c r="B33" s="23" t="s">
        <v>64</v>
      </c>
      <c r="C33" s="23">
        <v>3</v>
      </c>
      <c r="D33" s="23">
        <v>3</v>
      </c>
      <c r="E33" s="27">
        <v>30</v>
      </c>
      <c r="F33" s="31">
        <v>10</v>
      </c>
      <c r="G33" s="23" t="s">
        <v>77</v>
      </c>
      <c r="H33" s="27">
        <v>3</v>
      </c>
      <c r="I33" s="33">
        <v>7</v>
      </c>
      <c r="J33" s="24">
        <v>3.5638952537000002</v>
      </c>
      <c r="K33" s="24">
        <v>0.2444587599180606</v>
      </c>
      <c r="L33" s="24">
        <v>3.42</v>
      </c>
      <c r="M33" s="24">
        <v>3.4255319149000001</v>
      </c>
      <c r="N33" s="24">
        <v>3.8461538462</v>
      </c>
      <c r="O33" s="24">
        <v>3.8461538462</v>
      </c>
      <c r="P33" s="24">
        <v>932.70699999999999</v>
      </c>
      <c r="Q33" s="24">
        <v>6.0296179812654742</v>
      </c>
      <c r="R33" s="24">
        <v>936.423</v>
      </c>
      <c r="S33" s="24">
        <v>935.94799999999998</v>
      </c>
      <c r="T33" s="24">
        <v>925.75</v>
      </c>
      <c r="U33" s="24">
        <v>925.75</v>
      </c>
      <c r="V33" s="24">
        <v>4.3727541371333336</v>
      </c>
      <c r="W33" s="24">
        <v>9.5055361618871639E-2</v>
      </c>
      <c r="X33" s="24">
        <v>4.2765957446999998</v>
      </c>
      <c r="Y33" s="24">
        <v>4.375</v>
      </c>
      <c r="Z33" s="24">
        <v>4.4666666667000001</v>
      </c>
      <c r="AA33" s="24">
        <v>4.4666666667000001</v>
      </c>
      <c r="AB33" s="24">
        <v>909.82333333333338</v>
      </c>
      <c r="AC33" s="24">
        <v>1.312558697100185</v>
      </c>
      <c r="AD33" s="24">
        <v>911.14300000000003</v>
      </c>
      <c r="AE33" s="24">
        <v>909.80899999999997</v>
      </c>
      <c r="AF33" s="24">
        <v>909.1635</v>
      </c>
      <c r="AG33" s="24">
        <v>908.51800000000003</v>
      </c>
    </row>
    <row r="34" spans="1:33">
      <c r="A34" s="23" t="s">
        <v>65</v>
      </c>
      <c r="B34" s="23" t="s">
        <v>66</v>
      </c>
      <c r="C34" s="23">
        <v>6</v>
      </c>
      <c r="D34" s="23">
        <v>6</v>
      </c>
      <c r="E34" s="27">
        <v>36</v>
      </c>
      <c r="F34" s="31">
        <v>6</v>
      </c>
      <c r="G34" s="23" t="s">
        <v>77</v>
      </c>
      <c r="H34" s="27">
        <v>6</v>
      </c>
      <c r="I34" s="33">
        <v>7</v>
      </c>
      <c r="J34" s="24">
        <v>3.8404456802000002</v>
      </c>
      <c r="K34" s="24">
        <v>0.38596187188395492</v>
      </c>
      <c r="L34" s="24">
        <v>3.3191489362</v>
      </c>
      <c r="M34" s="24">
        <v>3.6382978722999999</v>
      </c>
      <c r="N34" s="24">
        <v>4.0833333332999997</v>
      </c>
      <c r="O34" s="24">
        <v>4.375</v>
      </c>
      <c r="P34" s="24">
        <v>923.20033333333322</v>
      </c>
      <c r="Q34" s="24">
        <v>9.7784789137506767</v>
      </c>
      <c r="R34" s="24">
        <v>937.67</v>
      </c>
      <c r="S34" s="24">
        <v>925.87199999999996</v>
      </c>
      <c r="T34" s="24">
        <v>917.92499999999995</v>
      </c>
      <c r="U34" s="24">
        <v>908.95799999999997</v>
      </c>
      <c r="V34" s="24">
        <v>4.3602245862833344</v>
      </c>
      <c r="W34" s="24">
        <v>0.59482226234817226</v>
      </c>
      <c r="X34" s="24">
        <v>3.3191489362</v>
      </c>
      <c r="Y34" s="24">
        <v>4.375</v>
      </c>
      <c r="Z34" s="24">
        <v>4.7446808511</v>
      </c>
      <c r="AA34" s="24">
        <v>4.9583333332999997</v>
      </c>
      <c r="AB34" s="24">
        <v>910.02433333333329</v>
      </c>
      <c r="AC34" s="24">
        <v>15.773154822883919</v>
      </c>
      <c r="AD34" s="24">
        <v>937.67</v>
      </c>
      <c r="AE34" s="24">
        <v>905.48900000000003</v>
      </c>
      <c r="AF34" s="24">
        <v>898.75974999999994</v>
      </c>
      <c r="AG34" s="24">
        <v>895.9</v>
      </c>
    </row>
    <row r="35" spans="1:33">
      <c r="A35" s="23" t="s">
        <v>112</v>
      </c>
      <c r="B35" s="23" t="s">
        <v>62</v>
      </c>
      <c r="C35" s="23">
        <v>5</v>
      </c>
      <c r="D35" s="23">
        <v>14</v>
      </c>
      <c r="E35" s="27">
        <v>102</v>
      </c>
      <c r="F35" s="31">
        <v>7.2857142857142856</v>
      </c>
      <c r="G35" s="23" t="s">
        <v>77</v>
      </c>
      <c r="H35" s="27">
        <v>14</v>
      </c>
      <c r="I35" s="33">
        <v>26</v>
      </c>
      <c r="J35" s="24">
        <v>3.9207836417571431</v>
      </c>
      <c r="K35" s="24">
        <v>0.31006463276170482</v>
      </c>
      <c r="L35" s="24">
        <v>3.1914893617</v>
      </c>
      <c r="M35" s="24">
        <v>3.9803921568999998</v>
      </c>
      <c r="N35" s="24">
        <v>4.1875</v>
      </c>
      <c r="O35" s="24">
        <v>4.2391304347999998</v>
      </c>
      <c r="P35" s="24">
        <v>923.35199999999998</v>
      </c>
      <c r="Q35" s="24">
        <v>8.272561123283495</v>
      </c>
      <c r="R35" s="24">
        <v>943.245</v>
      </c>
      <c r="S35" s="24">
        <v>921.54700000000003</v>
      </c>
      <c r="T35" s="24">
        <v>916.84</v>
      </c>
      <c r="U35" s="24">
        <v>915.56399999999996</v>
      </c>
      <c r="V35" s="24">
        <v>4.3222736208999999</v>
      </c>
      <c r="W35" s="24">
        <v>0.3101378892937921</v>
      </c>
      <c r="X35" s="24">
        <v>3.5869565216999999</v>
      </c>
      <c r="Y35" s="24">
        <v>4.3877551019999999</v>
      </c>
      <c r="Z35" s="24">
        <v>4.5208333332999997</v>
      </c>
      <c r="AA35" s="24">
        <v>4.7111111111000001</v>
      </c>
      <c r="AB35" s="24">
        <v>911.85371428571432</v>
      </c>
      <c r="AC35" s="24">
        <v>8.6325099160411849</v>
      </c>
      <c r="AD35" s="24">
        <v>933.06299999999999</v>
      </c>
      <c r="AE35" s="24">
        <v>909.91599999999994</v>
      </c>
      <c r="AF35" s="24">
        <v>905.52250000000004</v>
      </c>
      <c r="AG35" s="24">
        <v>903</v>
      </c>
    </row>
  </sheetData>
  <mergeCells count="23">
    <mergeCell ref="A20:A22"/>
    <mergeCell ref="A27:A31"/>
    <mergeCell ref="P2:U2"/>
    <mergeCell ref="J1:U1"/>
    <mergeCell ref="A24:A25"/>
    <mergeCell ref="A4:A6"/>
    <mergeCell ref="A7:A8"/>
    <mergeCell ref="A9:A14"/>
    <mergeCell ref="A15:A19"/>
    <mergeCell ref="C1:C3"/>
    <mergeCell ref="A1:A3"/>
    <mergeCell ref="B1:B3"/>
    <mergeCell ref="AB2:AG2"/>
    <mergeCell ref="V1:AG1"/>
    <mergeCell ref="V2:AA2"/>
    <mergeCell ref="D1:I1"/>
    <mergeCell ref="D2:D3"/>
    <mergeCell ref="E2:E3"/>
    <mergeCell ref="F2:F3"/>
    <mergeCell ref="G2:G3"/>
    <mergeCell ref="H2:H3"/>
    <mergeCell ref="I2:I3"/>
    <mergeCell ref="J2:O2"/>
  </mergeCells>
  <phoneticPr fontId="7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G5"/>
  <sheetViews>
    <sheetView zoomScale="85" zoomScaleNormal="85" workbookViewId="0">
      <pane xSplit="2" ySplit="3" topLeftCell="N4" activePane="bottomRight" state="frozen"/>
      <selection pane="topRight"/>
      <selection pane="bottomLeft"/>
      <selection pane="bottomRight" activeCell="V27" sqref="V27"/>
    </sheetView>
  </sheetViews>
  <sheetFormatPr defaultRowHeight="16.5"/>
  <cols>
    <col min="1" max="1" width="14" customWidth="1"/>
    <col min="2" max="2" width="28" customWidth="1"/>
    <col min="3" max="3" width="10.375" style="4" customWidth="1"/>
    <col min="4" max="8" width="8.75" style="4" customWidth="1"/>
    <col min="9" max="9" width="10.625" style="4" customWidth="1"/>
    <col min="10" max="33" width="11" customWidth="1"/>
  </cols>
  <sheetData>
    <row r="1" spans="1:33">
      <c r="A1" s="71" t="s">
        <v>2</v>
      </c>
      <c r="B1" s="71" t="s">
        <v>3</v>
      </c>
      <c r="C1" s="78" t="s">
        <v>79</v>
      </c>
      <c r="D1" s="104" t="s">
        <v>78</v>
      </c>
      <c r="E1" s="74"/>
      <c r="F1" s="74"/>
      <c r="G1" s="74"/>
      <c r="H1" s="74"/>
      <c r="I1" s="74"/>
      <c r="J1" s="75" t="s">
        <v>113</v>
      </c>
      <c r="K1" s="76"/>
      <c r="L1" s="76"/>
      <c r="M1" s="76"/>
      <c r="N1" s="76"/>
      <c r="O1" s="76"/>
      <c r="P1" s="76"/>
      <c r="Q1" s="76"/>
      <c r="R1" s="76"/>
      <c r="S1" s="76"/>
      <c r="T1" s="76"/>
      <c r="U1" s="77"/>
      <c r="V1" s="75" t="s">
        <v>116</v>
      </c>
      <c r="W1" s="76"/>
      <c r="X1" s="76"/>
      <c r="Y1" s="76"/>
      <c r="Z1" s="76"/>
      <c r="AA1" s="76"/>
      <c r="AB1" s="76"/>
      <c r="AC1" s="76"/>
      <c r="AD1" s="76"/>
      <c r="AE1" s="76"/>
      <c r="AF1" s="76"/>
      <c r="AG1" s="77"/>
    </row>
    <row r="2" spans="1:33" ht="21.95" customHeight="1">
      <c r="A2" s="71"/>
      <c r="B2" s="71"/>
      <c r="C2" s="78"/>
      <c r="D2" s="90" t="s">
        <v>70</v>
      </c>
      <c r="E2" s="90" t="s">
        <v>71</v>
      </c>
      <c r="F2" s="90" t="s">
        <v>72</v>
      </c>
      <c r="G2" s="69" t="s">
        <v>73</v>
      </c>
      <c r="H2" s="69" t="s">
        <v>74</v>
      </c>
      <c r="I2" s="69" t="s">
        <v>75</v>
      </c>
      <c r="J2" s="87" t="s">
        <v>4</v>
      </c>
      <c r="K2" s="88"/>
      <c r="L2" s="88"/>
      <c r="M2" s="88"/>
      <c r="N2" s="88"/>
      <c r="O2" s="89"/>
      <c r="P2" s="75" t="s">
        <v>120</v>
      </c>
      <c r="Q2" s="76"/>
      <c r="R2" s="76"/>
      <c r="S2" s="76"/>
      <c r="T2" s="76"/>
      <c r="U2" s="77"/>
      <c r="V2" s="87" t="s">
        <v>4</v>
      </c>
      <c r="W2" s="88"/>
      <c r="X2" s="88"/>
      <c r="Y2" s="88"/>
      <c r="Z2" s="88"/>
      <c r="AA2" s="89"/>
      <c r="AB2" s="75" t="s">
        <v>120</v>
      </c>
      <c r="AC2" s="76"/>
      <c r="AD2" s="76"/>
      <c r="AE2" s="76"/>
      <c r="AF2" s="76"/>
      <c r="AG2" s="77"/>
    </row>
    <row r="3" spans="1:33" ht="21.95" customHeight="1">
      <c r="A3" s="71"/>
      <c r="B3" s="71"/>
      <c r="C3" s="79"/>
      <c r="D3" s="92"/>
      <c r="E3" s="92"/>
      <c r="F3" s="92"/>
      <c r="G3" s="70"/>
      <c r="H3" s="70"/>
      <c r="I3" s="70"/>
      <c r="J3" s="1" t="s">
        <v>6</v>
      </c>
      <c r="K3" s="1" t="s">
        <v>7</v>
      </c>
      <c r="L3" s="1" t="s">
        <v>10</v>
      </c>
      <c r="M3" s="1" t="s">
        <v>8</v>
      </c>
      <c r="N3" s="1" t="s">
        <v>9</v>
      </c>
      <c r="O3" s="1" t="s">
        <v>11</v>
      </c>
      <c r="P3" s="1" t="s">
        <v>6</v>
      </c>
      <c r="Q3" s="1" t="s">
        <v>7</v>
      </c>
      <c r="R3" s="1" t="s">
        <v>12</v>
      </c>
      <c r="S3" s="1" t="s">
        <v>8</v>
      </c>
      <c r="T3" s="1" t="s">
        <v>9</v>
      </c>
      <c r="U3" s="1" t="s">
        <v>13</v>
      </c>
      <c r="V3" s="1" t="s">
        <v>6</v>
      </c>
      <c r="W3" s="1" t="s">
        <v>7</v>
      </c>
      <c r="X3" s="1" t="s">
        <v>10</v>
      </c>
      <c r="Y3" s="1" t="s">
        <v>8</v>
      </c>
      <c r="Z3" s="1" t="s">
        <v>9</v>
      </c>
      <c r="AA3" s="1" t="s">
        <v>11</v>
      </c>
      <c r="AB3" s="1" t="s">
        <v>6</v>
      </c>
      <c r="AC3" s="1" t="s">
        <v>7</v>
      </c>
      <c r="AD3" s="1" t="s">
        <v>12</v>
      </c>
      <c r="AE3" s="1" t="s">
        <v>8</v>
      </c>
      <c r="AF3" s="1" t="s">
        <v>9</v>
      </c>
      <c r="AG3" s="1" t="s">
        <v>13</v>
      </c>
    </row>
    <row r="4" spans="1:33">
      <c r="A4" s="2" t="s">
        <v>49</v>
      </c>
      <c r="B4" s="17" t="s">
        <v>67</v>
      </c>
      <c r="C4" s="5">
        <v>1</v>
      </c>
      <c r="D4" s="5">
        <v>1</v>
      </c>
      <c r="E4" s="5">
        <v>9</v>
      </c>
      <c r="F4" s="5">
        <v>9</v>
      </c>
      <c r="G4" s="5">
        <v>2</v>
      </c>
      <c r="H4" s="5">
        <v>0</v>
      </c>
      <c r="I4" s="5">
        <v>0</v>
      </c>
      <c r="J4" s="39">
        <v>1.2795698925000001</v>
      </c>
      <c r="K4" s="39"/>
      <c r="L4" s="39">
        <v>1.2795698925000001</v>
      </c>
      <c r="M4" s="39">
        <v>1.2795698925000001</v>
      </c>
      <c r="N4" s="39">
        <v>1.2795698925000001</v>
      </c>
      <c r="O4" s="39">
        <v>1.2795698925000001</v>
      </c>
      <c r="P4" s="39">
        <v>992.61099999999999</v>
      </c>
      <c r="Q4" s="39"/>
      <c r="R4" s="39">
        <v>992.61099999999999</v>
      </c>
      <c r="S4" s="39">
        <v>992.61099999999999</v>
      </c>
      <c r="T4" s="39">
        <v>992.61099999999999</v>
      </c>
      <c r="U4" s="39">
        <v>992.61099999999999</v>
      </c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</row>
    <row r="5" spans="1:33">
      <c r="A5" s="2" t="s">
        <v>51</v>
      </c>
      <c r="B5" s="17" t="s">
        <v>53</v>
      </c>
      <c r="C5" s="5">
        <v>2</v>
      </c>
      <c r="D5" s="5">
        <v>2</v>
      </c>
      <c r="E5" s="5">
        <v>13</v>
      </c>
      <c r="F5" s="5">
        <v>6.5</v>
      </c>
      <c r="G5" s="5" t="s">
        <v>109</v>
      </c>
      <c r="H5" s="5">
        <v>2</v>
      </c>
      <c r="I5" s="5">
        <v>0</v>
      </c>
      <c r="J5" s="39">
        <v>2.5631127451000002</v>
      </c>
      <c r="K5" s="39">
        <v>0.11871768258131531</v>
      </c>
      <c r="L5" s="39">
        <v>2.4791666666999999</v>
      </c>
      <c r="M5" s="39">
        <v>2.4791666666999999</v>
      </c>
      <c r="N5" s="39">
        <v>2.6470588235000001</v>
      </c>
      <c r="O5" s="39">
        <v>2.6470588235000001</v>
      </c>
      <c r="P5" s="39">
        <v>959.43399999999997</v>
      </c>
      <c r="Q5" s="39">
        <v>3.1480393898425079</v>
      </c>
      <c r="R5" s="39">
        <v>961.66</v>
      </c>
      <c r="S5" s="39">
        <v>961.66</v>
      </c>
      <c r="T5" s="39">
        <v>957.20799999999997</v>
      </c>
      <c r="U5" s="39">
        <v>957.20799999999997</v>
      </c>
      <c r="V5" s="39">
        <v>2.5631127451000002</v>
      </c>
      <c r="W5" s="39">
        <v>0.11871768258131531</v>
      </c>
      <c r="X5" s="39">
        <v>2.4791666666999999</v>
      </c>
      <c r="Y5" s="39">
        <v>2.4791666666999999</v>
      </c>
      <c r="Z5" s="39">
        <v>2.6470588235000001</v>
      </c>
      <c r="AA5" s="39">
        <v>2.6470588235000001</v>
      </c>
      <c r="AB5" s="39">
        <v>959.43399999999997</v>
      </c>
      <c r="AC5" s="39">
        <v>3.1480393898425079</v>
      </c>
      <c r="AD5" s="39">
        <v>961.66</v>
      </c>
      <c r="AE5" s="39">
        <v>961.66</v>
      </c>
      <c r="AF5" s="39">
        <v>957.20799999999997</v>
      </c>
      <c r="AG5" s="39">
        <v>957.20799999999997</v>
      </c>
    </row>
  </sheetData>
  <mergeCells count="16">
    <mergeCell ref="A1:A3"/>
    <mergeCell ref="B1:B3"/>
    <mergeCell ref="V1:AG1"/>
    <mergeCell ref="J1:U1"/>
    <mergeCell ref="P2:U2"/>
    <mergeCell ref="C1:C3"/>
    <mergeCell ref="D1:I1"/>
    <mergeCell ref="D2:D3"/>
    <mergeCell ref="E2:E3"/>
    <mergeCell ref="F2:F3"/>
    <mergeCell ref="G2:G3"/>
    <mergeCell ref="H2:H3"/>
    <mergeCell ref="I2:I3"/>
    <mergeCell ref="V2:AA2"/>
    <mergeCell ref="J2:O2"/>
    <mergeCell ref="AB2:AG2"/>
  </mergeCells>
  <phoneticPr fontId="7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7"/>
  <sheetViews>
    <sheetView zoomScale="85" zoomScaleNormal="85" workbookViewId="0">
      <pane xSplit="2" ySplit="3" topLeftCell="C4" activePane="bottomRight" state="frozen"/>
      <selection pane="topRight"/>
      <selection pane="bottomLeft"/>
      <selection pane="bottomRight" activeCell="J16" sqref="J16"/>
    </sheetView>
  </sheetViews>
  <sheetFormatPr defaultRowHeight="16.5"/>
  <cols>
    <col min="1" max="1" width="14" customWidth="1"/>
    <col min="2" max="2" width="28" style="6" customWidth="1"/>
    <col min="3" max="7" width="14.375" customWidth="1"/>
    <col min="8" max="9" width="12.25" customWidth="1"/>
    <col min="10" max="33" width="11" customWidth="1"/>
  </cols>
  <sheetData>
    <row r="1" spans="1:35">
      <c r="A1" s="71" t="s">
        <v>2</v>
      </c>
      <c r="B1" s="71" t="s">
        <v>3</v>
      </c>
      <c r="C1" s="86" t="s">
        <v>79</v>
      </c>
      <c r="D1" s="71" t="s">
        <v>78</v>
      </c>
      <c r="E1" s="71"/>
      <c r="F1" s="71"/>
      <c r="G1" s="71"/>
      <c r="H1" s="71"/>
      <c r="I1" s="71"/>
      <c r="J1" s="75" t="s">
        <v>113</v>
      </c>
      <c r="K1" s="76"/>
      <c r="L1" s="76"/>
      <c r="M1" s="76"/>
      <c r="N1" s="76"/>
      <c r="O1" s="76"/>
      <c r="P1" s="76"/>
      <c r="Q1" s="76"/>
      <c r="R1" s="76"/>
      <c r="S1" s="76"/>
      <c r="T1" s="76"/>
      <c r="U1" s="77"/>
      <c r="V1" s="75" t="s">
        <v>116</v>
      </c>
      <c r="W1" s="76"/>
      <c r="X1" s="76"/>
      <c r="Y1" s="76"/>
      <c r="Z1" s="76"/>
      <c r="AA1" s="76"/>
      <c r="AB1" s="76"/>
      <c r="AC1" s="76"/>
      <c r="AD1" s="76"/>
      <c r="AE1" s="76"/>
      <c r="AF1" s="76"/>
      <c r="AG1" s="77"/>
      <c r="AH1" s="107" t="s">
        <v>131</v>
      </c>
      <c r="AI1" s="107"/>
    </row>
    <row r="2" spans="1:35" ht="21.95" customHeight="1">
      <c r="A2" s="71"/>
      <c r="B2" s="71"/>
      <c r="C2" s="86"/>
      <c r="D2" s="71" t="s">
        <v>70</v>
      </c>
      <c r="E2" s="71" t="s">
        <v>71</v>
      </c>
      <c r="F2" s="71" t="s">
        <v>72</v>
      </c>
      <c r="G2" s="86" t="s">
        <v>73</v>
      </c>
      <c r="H2" s="86" t="s">
        <v>74</v>
      </c>
      <c r="I2" s="86" t="s">
        <v>75</v>
      </c>
      <c r="J2" s="87" t="s">
        <v>4</v>
      </c>
      <c r="K2" s="88"/>
      <c r="L2" s="88"/>
      <c r="M2" s="88"/>
      <c r="N2" s="88"/>
      <c r="O2" s="89"/>
      <c r="P2" s="75" t="s">
        <v>120</v>
      </c>
      <c r="Q2" s="76"/>
      <c r="R2" s="76"/>
      <c r="S2" s="76"/>
      <c r="T2" s="76"/>
      <c r="U2" s="77"/>
      <c r="V2" s="87" t="s">
        <v>4</v>
      </c>
      <c r="W2" s="88"/>
      <c r="X2" s="88"/>
      <c r="Y2" s="88"/>
      <c r="Z2" s="88"/>
      <c r="AA2" s="89"/>
      <c r="AB2" s="75" t="s">
        <v>120</v>
      </c>
      <c r="AC2" s="76"/>
      <c r="AD2" s="76"/>
      <c r="AE2" s="76"/>
      <c r="AF2" s="76"/>
      <c r="AG2" s="77"/>
      <c r="AH2" s="105" t="s">
        <v>132</v>
      </c>
      <c r="AI2" s="106" t="s">
        <v>133</v>
      </c>
    </row>
    <row r="3" spans="1:35" ht="21.95" customHeight="1">
      <c r="A3" s="71"/>
      <c r="B3" s="71"/>
      <c r="C3" s="86"/>
      <c r="D3" s="71"/>
      <c r="E3" s="71"/>
      <c r="F3" s="71"/>
      <c r="G3" s="86"/>
      <c r="H3" s="86"/>
      <c r="I3" s="86"/>
      <c r="J3" s="1" t="s">
        <v>6</v>
      </c>
      <c r="K3" s="1" t="s">
        <v>7</v>
      </c>
      <c r="L3" s="1" t="s">
        <v>10</v>
      </c>
      <c r="M3" s="1" t="s">
        <v>8</v>
      </c>
      <c r="N3" s="1" t="s">
        <v>9</v>
      </c>
      <c r="O3" s="1" t="s">
        <v>11</v>
      </c>
      <c r="P3" s="1" t="s">
        <v>6</v>
      </c>
      <c r="Q3" s="1" t="s">
        <v>7</v>
      </c>
      <c r="R3" s="1" t="s">
        <v>12</v>
      </c>
      <c r="S3" s="1" t="s">
        <v>8</v>
      </c>
      <c r="T3" s="1" t="s">
        <v>9</v>
      </c>
      <c r="U3" s="1" t="s">
        <v>13</v>
      </c>
      <c r="V3" s="1" t="s">
        <v>6</v>
      </c>
      <c r="W3" s="1" t="s">
        <v>7</v>
      </c>
      <c r="X3" s="1" t="s">
        <v>10</v>
      </c>
      <c r="Y3" s="1" t="s">
        <v>8</v>
      </c>
      <c r="Z3" s="1" t="s">
        <v>9</v>
      </c>
      <c r="AA3" s="1" t="s">
        <v>11</v>
      </c>
      <c r="AB3" s="1" t="s">
        <v>6</v>
      </c>
      <c r="AC3" s="1" t="s">
        <v>7</v>
      </c>
      <c r="AD3" s="1" t="s">
        <v>12</v>
      </c>
      <c r="AE3" s="1" t="s">
        <v>8</v>
      </c>
      <c r="AF3" s="1" t="s">
        <v>9</v>
      </c>
      <c r="AG3" s="1" t="s">
        <v>13</v>
      </c>
      <c r="AH3" s="105"/>
      <c r="AI3" s="106"/>
    </row>
    <row r="4" spans="1:35">
      <c r="A4" s="71" t="s">
        <v>45</v>
      </c>
      <c r="B4" s="17" t="s">
        <v>46</v>
      </c>
      <c r="C4" s="2">
        <v>33</v>
      </c>
      <c r="D4" s="2">
        <v>31</v>
      </c>
      <c r="E4" s="2">
        <v>153</v>
      </c>
      <c r="F4" s="2">
        <v>4.9400000000000004</v>
      </c>
      <c r="G4" s="2" t="s">
        <v>81</v>
      </c>
      <c r="H4" s="2">
        <v>30</v>
      </c>
      <c r="I4" s="2">
        <v>31</v>
      </c>
      <c r="J4" s="39">
        <v>5.9214039731870969</v>
      </c>
      <c r="K4" s="39">
        <v>0.71102540655933499</v>
      </c>
      <c r="L4" s="39">
        <v>4.7142857142999999</v>
      </c>
      <c r="M4" s="39">
        <v>6.0816326530999998</v>
      </c>
      <c r="N4" s="39">
        <v>6.4313725489999998</v>
      </c>
      <c r="O4" s="39">
        <v>7.3023255813999999</v>
      </c>
      <c r="P4" s="39">
        <v>936.66661290322588</v>
      </c>
      <c r="Q4" s="39">
        <v>13.93104181238771</v>
      </c>
      <c r="R4" s="39">
        <v>973.33299999999997</v>
      </c>
      <c r="S4" s="39">
        <v>930</v>
      </c>
      <c r="T4" s="39">
        <v>926.66700000000003</v>
      </c>
      <c r="U4" s="39">
        <v>920</v>
      </c>
      <c r="V4" s="39">
        <v>5.9058728558666651</v>
      </c>
      <c r="W4" s="39">
        <v>0.7368827433117926</v>
      </c>
      <c r="X4" s="39">
        <v>4.7142857142999999</v>
      </c>
      <c r="Y4" s="39">
        <v>6.0816326530999998</v>
      </c>
      <c r="Z4" s="39">
        <v>6.4705882353000002</v>
      </c>
      <c r="AA4" s="39">
        <v>7.2765957446999998</v>
      </c>
      <c r="AB4" s="39">
        <v>911.33336666666662</v>
      </c>
      <c r="AC4" s="39">
        <v>34.82406773411995</v>
      </c>
      <c r="AD4" s="39">
        <v>970</v>
      </c>
      <c r="AE4" s="39">
        <v>923.33299999999997</v>
      </c>
      <c r="AF4" s="39">
        <v>870</v>
      </c>
      <c r="AG4" s="39">
        <v>846.66700000000003</v>
      </c>
      <c r="AH4" s="36">
        <v>1000</v>
      </c>
      <c r="AI4" s="35">
        <v>911.33</v>
      </c>
    </row>
    <row r="5" spans="1:35">
      <c r="A5" s="71"/>
      <c r="B5" s="17" t="s">
        <v>68</v>
      </c>
      <c r="C5" s="2">
        <v>32</v>
      </c>
      <c r="D5" s="2">
        <v>34</v>
      </c>
      <c r="E5" s="2">
        <v>376</v>
      </c>
      <c r="F5" s="2">
        <v>11.06</v>
      </c>
      <c r="G5" s="2" t="s">
        <v>81</v>
      </c>
      <c r="H5" s="2">
        <v>34</v>
      </c>
      <c r="I5" s="2">
        <v>18</v>
      </c>
      <c r="J5" s="39">
        <v>4.4145196681735301</v>
      </c>
      <c r="K5" s="39">
        <v>0.68726802723279534</v>
      </c>
      <c r="L5" s="39">
        <v>2.6944444444000002</v>
      </c>
      <c r="M5" s="39">
        <v>4.5294117646999998</v>
      </c>
      <c r="N5" s="39">
        <v>4.8490566038000003</v>
      </c>
      <c r="O5" s="39">
        <v>5.4347826087</v>
      </c>
      <c r="P5" s="39">
        <v>970.18647058823535</v>
      </c>
      <c r="Q5" s="39">
        <v>3.5884913368804812</v>
      </c>
      <c r="R5" s="39">
        <v>977.78800000000001</v>
      </c>
      <c r="S5" s="39">
        <v>969.577</v>
      </c>
      <c r="T5" s="39">
        <v>967.26499999999999</v>
      </c>
      <c r="U5" s="39">
        <v>965.05899999999997</v>
      </c>
      <c r="V5" s="39">
        <v>4.586859312314707</v>
      </c>
      <c r="W5" s="39">
        <v>0.82230950521001689</v>
      </c>
      <c r="X5" s="39">
        <v>2.9705882353000002</v>
      </c>
      <c r="Y5" s="39">
        <v>4.6875</v>
      </c>
      <c r="Z5" s="39">
        <v>5.1739130434999998</v>
      </c>
      <c r="AA5" s="39">
        <v>5.9574468085000003</v>
      </c>
      <c r="AB5" s="39">
        <v>967.55088235294124</v>
      </c>
      <c r="AC5" s="39">
        <v>5.2758179360958346</v>
      </c>
      <c r="AD5" s="39">
        <v>977.78800000000001</v>
      </c>
      <c r="AE5" s="39">
        <v>967.26499999999999</v>
      </c>
      <c r="AF5" s="39">
        <v>963.46400000000006</v>
      </c>
      <c r="AG5" s="39">
        <v>959.61800000000005</v>
      </c>
      <c r="AH5" s="35">
        <v>700</v>
      </c>
      <c r="AI5" s="35">
        <v>696.47</v>
      </c>
    </row>
    <row r="6" spans="1:35">
      <c r="A6" s="71"/>
      <c r="B6" s="17" t="s">
        <v>82</v>
      </c>
      <c r="C6" s="2">
        <v>6</v>
      </c>
      <c r="D6" s="2">
        <v>4</v>
      </c>
      <c r="E6" s="2">
        <v>5</v>
      </c>
      <c r="F6" s="2">
        <v>1.25</v>
      </c>
      <c r="G6" s="2" t="s">
        <v>81</v>
      </c>
      <c r="H6" s="2">
        <v>4</v>
      </c>
      <c r="I6" s="2">
        <v>0</v>
      </c>
      <c r="J6" s="39">
        <v>6.8937326549750004</v>
      </c>
      <c r="K6" s="39">
        <v>1.207527187587057</v>
      </c>
      <c r="L6" s="39">
        <v>5.2391304347999998</v>
      </c>
      <c r="M6" s="39">
        <v>6.7826086956999996</v>
      </c>
      <c r="N6" s="39">
        <v>7.5957446809000002</v>
      </c>
      <c r="O6" s="39">
        <v>7.9574468085000003</v>
      </c>
      <c r="P6" s="39">
        <v>855.70550000000003</v>
      </c>
      <c r="Q6" s="39">
        <v>73.489619464248165</v>
      </c>
      <c r="R6" s="39">
        <v>937.86300000000006</v>
      </c>
      <c r="S6" s="39">
        <v>896.76300000000003</v>
      </c>
      <c r="T6" s="39">
        <v>803.46900000000005</v>
      </c>
      <c r="U6" s="39">
        <v>784.72699999999998</v>
      </c>
      <c r="V6" s="39">
        <v>6.8937326549750004</v>
      </c>
      <c r="W6" s="39">
        <v>1.207527187587057</v>
      </c>
      <c r="X6" s="39">
        <v>5.2391304347999998</v>
      </c>
      <c r="Y6" s="39">
        <v>6.7826086956999996</v>
      </c>
      <c r="Z6" s="39">
        <v>7.5957446809000002</v>
      </c>
      <c r="AA6" s="39">
        <v>7.9574468085000003</v>
      </c>
      <c r="AB6" s="39">
        <v>855.70550000000003</v>
      </c>
      <c r="AC6" s="39">
        <v>73.489619464248165</v>
      </c>
      <c r="AD6" s="39">
        <v>937.86300000000006</v>
      </c>
      <c r="AE6" s="39">
        <v>896.76300000000003</v>
      </c>
      <c r="AF6" s="39">
        <v>803.46900000000005</v>
      </c>
      <c r="AG6" s="39">
        <v>784.72699999999998</v>
      </c>
      <c r="AH6" s="35">
        <v>250</v>
      </c>
      <c r="AI6" s="35">
        <v>158.9</v>
      </c>
    </row>
    <row r="7" spans="1:35">
      <c r="A7" s="71"/>
      <c r="B7" s="17" t="s">
        <v>47</v>
      </c>
      <c r="C7" s="2">
        <v>11</v>
      </c>
      <c r="D7" s="2">
        <v>10</v>
      </c>
      <c r="E7" s="2">
        <v>17</v>
      </c>
      <c r="F7" s="2">
        <v>1.7</v>
      </c>
      <c r="G7" s="2" t="s">
        <v>81</v>
      </c>
      <c r="H7" s="2">
        <v>5</v>
      </c>
      <c r="I7" s="2">
        <v>4</v>
      </c>
      <c r="J7" s="39">
        <v>5.7824606620199992</v>
      </c>
      <c r="K7" s="39">
        <v>0.89157596093065417</v>
      </c>
      <c r="L7" s="39">
        <v>4.6764705881999999</v>
      </c>
      <c r="M7" s="39">
        <v>5.5789473683999997</v>
      </c>
      <c r="N7" s="39">
        <v>6.5121951219999996</v>
      </c>
      <c r="O7" s="39">
        <v>6.84</v>
      </c>
      <c r="P7" s="39">
        <v>893</v>
      </c>
      <c r="Q7" s="39">
        <v>22.63268811760042</v>
      </c>
      <c r="R7" s="39">
        <v>920</v>
      </c>
      <c r="S7" s="39">
        <v>900</v>
      </c>
      <c r="T7" s="39">
        <v>883.3</v>
      </c>
      <c r="U7" s="39">
        <v>835</v>
      </c>
      <c r="V7" s="39">
        <v>5.9343594380800004</v>
      </c>
      <c r="W7" s="39">
        <v>0.77194908497250458</v>
      </c>
      <c r="X7" s="39">
        <v>4.7916666667000003</v>
      </c>
      <c r="Y7" s="39">
        <v>5.9387755102000002</v>
      </c>
      <c r="Z7" s="39">
        <v>6.3902439024</v>
      </c>
      <c r="AA7" s="39">
        <v>6.84</v>
      </c>
      <c r="AB7" s="39">
        <v>880.18888888888887</v>
      </c>
      <c r="AC7" s="39">
        <v>30.081865153462662</v>
      </c>
      <c r="AD7" s="39">
        <v>920</v>
      </c>
      <c r="AE7" s="39">
        <v>885</v>
      </c>
      <c r="AF7" s="39">
        <v>850</v>
      </c>
      <c r="AG7" s="39">
        <v>835</v>
      </c>
      <c r="AH7" s="36">
        <v>1000</v>
      </c>
      <c r="AI7" s="35">
        <v>877.34</v>
      </c>
    </row>
  </sheetData>
  <mergeCells count="20">
    <mergeCell ref="J2:O2"/>
    <mergeCell ref="A1:A3"/>
    <mergeCell ref="B1:B3"/>
    <mergeCell ref="A4:A7"/>
    <mergeCell ref="P2:U2"/>
    <mergeCell ref="J1:U1"/>
    <mergeCell ref="C1:C3"/>
    <mergeCell ref="D1:I1"/>
    <mergeCell ref="D2:D3"/>
    <mergeCell ref="E2:E3"/>
    <mergeCell ref="F2:F3"/>
    <mergeCell ref="G2:G3"/>
    <mergeCell ref="H2:H3"/>
    <mergeCell ref="I2:I3"/>
    <mergeCell ref="AH2:AH3"/>
    <mergeCell ref="AI2:AI3"/>
    <mergeCell ref="AH1:AI1"/>
    <mergeCell ref="AB2:AG2"/>
    <mergeCell ref="V1:AG1"/>
    <mergeCell ref="V2:AA2"/>
  </mergeCells>
  <phoneticPr fontId="7" type="noConversion"/>
  <conditionalFormatting sqref="C4:I4">
    <cfRule type="containsBlanks" dxfId="7" priority="4">
      <formula>LEN(TRIM(C4))=0</formula>
    </cfRule>
  </conditionalFormatting>
  <conditionalFormatting sqref="C5:I5">
    <cfRule type="containsBlanks" dxfId="6" priority="3">
      <formula>LEN(TRIM(C5))=0</formula>
    </cfRule>
  </conditionalFormatting>
  <conditionalFormatting sqref="C6:I6">
    <cfRule type="containsBlanks" dxfId="5" priority="2">
      <formula>LEN(TRIM(C6))=0</formula>
    </cfRule>
  </conditionalFormatting>
  <conditionalFormatting sqref="C7:I7">
    <cfRule type="containsBlanks" dxfId="4" priority="1">
      <formula>LEN(TRIM(C7))=0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5"/>
  <sheetViews>
    <sheetView zoomScale="85" zoomScaleNormal="85" workbookViewId="0">
      <pane xSplit="2" ySplit="3" topLeftCell="O4" activePane="bottomRight" state="frozen"/>
      <selection pane="topRight"/>
      <selection pane="bottomLeft"/>
      <selection pane="bottomRight" activeCell="J4" sqref="J4:AG4"/>
    </sheetView>
  </sheetViews>
  <sheetFormatPr defaultRowHeight="16.5"/>
  <cols>
    <col min="1" max="1" width="14" customWidth="1"/>
    <col min="2" max="2" width="28" customWidth="1"/>
    <col min="3" max="9" width="12.125" style="4" customWidth="1"/>
    <col min="10" max="33" width="11" customWidth="1"/>
  </cols>
  <sheetData>
    <row r="1" spans="1:33">
      <c r="A1" s="72" t="s">
        <v>2</v>
      </c>
      <c r="B1" s="108" t="s">
        <v>3</v>
      </c>
      <c r="C1" s="86" t="s">
        <v>79</v>
      </c>
      <c r="D1" s="71" t="s">
        <v>78</v>
      </c>
      <c r="E1" s="71"/>
      <c r="F1" s="71"/>
      <c r="G1" s="71"/>
      <c r="H1" s="71"/>
      <c r="I1" s="71"/>
      <c r="J1" s="75" t="s">
        <v>113</v>
      </c>
      <c r="K1" s="76"/>
      <c r="L1" s="76"/>
      <c r="M1" s="76"/>
      <c r="N1" s="76"/>
      <c r="O1" s="76"/>
      <c r="P1" s="76"/>
      <c r="Q1" s="76"/>
      <c r="R1" s="76"/>
      <c r="S1" s="76"/>
      <c r="T1" s="76"/>
      <c r="U1" s="77"/>
      <c r="V1" s="75" t="s">
        <v>116</v>
      </c>
      <c r="W1" s="76"/>
      <c r="X1" s="76"/>
      <c r="Y1" s="76"/>
      <c r="Z1" s="76"/>
      <c r="AA1" s="76"/>
      <c r="AB1" s="76"/>
      <c r="AC1" s="76"/>
      <c r="AD1" s="76"/>
      <c r="AE1" s="76"/>
      <c r="AF1" s="76"/>
      <c r="AG1" s="77"/>
    </row>
    <row r="2" spans="1:33" ht="21.95" customHeight="1">
      <c r="A2" s="73"/>
      <c r="B2" s="108"/>
      <c r="C2" s="86"/>
      <c r="D2" s="71" t="s">
        <v>70</v>
      </c>
      <c r="E2" s="71" t="s">
        <v>71</v>
      </c>
      <c r="F2" s="71" t="s">
        <v>72</v>
      </c>
      <c r="G2" s="86" t="s">
        <v>73</v>
      </c>
      <c r="H2" s="86" t="s">
        <v>74</v>
      </c>
      <c r="I2" s="86" t="s">
        <v>75</v>
      </c>
      <c r="J2" s="87" t="s">
        <v>4</v>
      </c>
      <c r="K2" s="88"/>
      <c r="L2" s="88"/>
      <c r="M2" s="88"/>
      <c r="N2" s="88"/>
      <c r="O2" s="89"/>
      <c r="P2" s="75" t="s">
        <v>121</v>
      </c>
      <c r="Q2" s="76"/>
      <c r="R2" s="76"/>
      <c r="S2" s="76"/>
      <c r="T2" s="76"/>
      <c r="U2" s="77"/>
      <c r="V2" s="87" t="s">
        <v>4</v>
      </c>
      <c r="W2" s="88"/>
      <c r="X2" s="88"/>
      <c r="Y2" s="88"/>
      <c r="Z2" s="88"/>
      <c r="AA2" s="89"/>
      <c r="AB2" s="75" t="s">
        <v>121</v>
      </c>
      <c r="AC2" s="76"/>
      <c r="AD2" s="76"/>
      <c r="AE2" s="76"/>
      <c r="AF2" s="76"/>
      <c r="AG2" s="77"/>
    </row>
    <row r="3" spans="1:33" ht="21.95" customHeight="1">
      <c r="A3" s="74"/>
      <c r="B3" s="109"/>
      <c r="C3" s="86"/>
      <c r="D3" s="71"/>
      <c r="E3" s="71"/>
      <c r="F3" s="71"/>
      <c r="G3" s="86"/>
      <c r="H3" s="86"/>
      <c r="I3" s="86"/>
      <c r="J3" s="1" t="s">
        <v>6</v>
      </c>
      <c r="K3" s="1" t="s">
        <v>7</v>
      </c>
      <c r="L3" s="1" t="s">
        <v>10</v>
      </c>
      <c r="M3" s="1" t="s">
        <v>8</v>
      </c>
      <c r="N3" s="1" t="s">
        <v>9</v>
      </c>
      <c r="O3" s="1" t="s">
        <v>11</v>
      </c>
      <c r="P3" s="1" t="s">
        <v>6</v>
      </c>
      <c r="Q3" s="1" t="s">
        <v>7</v>
      </c>
      <c r="R3" s="1" t="s">
        <v>12</v>
      </c>
      <c r="S3" s="1" t="s">
        <v>8</v>
      </c>
      <c r="T3" s="1" t="s">
        <v>9</v>
      </c>
      <c r="U3" s="1" t="s">
        <v>13</v>
      </c>
      <c r="V3" s="1" t="s">
        <v>6</v>
      </c>
      <c r="W3" s="1" t="s">
        <v>7</v>
      </c>
      <c r="X3" s="1" t="s">
        <v>10</v>
      </c>
      <c r="Y3" s="1" t="s">
        <v>8</v>
      </c>
      <c r="Z3" s="1" t="s">
        <v>9</v>
      </c>
      <c r="AA3" s="1" t="s">
        <v>11</v>
      </c>
      <c r="AB3" s="1" t="s">
        <v>6</v>
      </c>
      <c r="AC3" s="1" t="s">
        <v>7</v>
      </c>
      <c r="AD3" s="1" t="s">
        <v>12</v>
      </c>
      <c r="AE3" s="1" t="s">
        <v>8</v>
      </c>
      <c r="AF3" s="1" t="s">
        <v>9</v>
      </c>
      <c r="AG3" s="1" t="s">
        <v>13</v>
      </c>
    </row>
    <row r="4" spans="1:33">
      <c r="A4" s="17" t="s">
        <v>49</v>
      </c>
      <c r="B4" s="17" t="s">
        <v>67</v>
      </c>
      <c r="C4" s="5">
        <v>2</v>
      </c>
      <c r="D4" s="5">
        <v>2</v>
      </c>
      <c r="E4" s="5">
        <v>23</v>
      </c>
      <c r="F4" s="5">
        <v>11.5</v>
      </c>
      <c r="G4" s="5">
        <v>2</v>
      </c>
      <c r="H4" s="5">
        <v>2</v>
      </c>
      <c r="I4" s="5">
        <v>0</v>
      </c>
      <c r="J4" s="39">
        <v>1.3625874125499999</v>
      </c>
      <c r="K4" s="39">
        <v>1.483440801175533E-3</v>
      </c>
      <c r="L4" s="39">
        <v>1.3615384614999999</v>
      </c>
      <c r="M4" s="39">
        <v>1.3615384614999999</v>
      </c>
      <c r="N4" s="39">
        <v>1.3636363636</v>
      </c>
      <c r="O4" s="39">
        <v>1.3636363636</v>
      </c>
      <c r="P4" s="39">
        <v>179.85</v>
      </c>
      <c r="Q4" s="39">
        <v>17.465537495307721</v>
      </c>
      <c r="R4" s="39">
        <v>192.2</v>
      </c>
      <c r="S4" s="39">
        <v>192.2</v>
      </c>
      <c r="T4" s="39">
        <v>167.5</v>
      </c>
      <c r="U4" s="39">
        <v>167.5</v>
      </c>
      <c r="V4" s="39">
        <v>1.3625874125499999</v>
      </c>
      <c r="W4" s="39">
        <v>1.483440801175533E-3</v>
      </c>
      <c r="X4" s="39">
        <v>1.3615384614999999</v>
      </c>
      <c r="Y4" s="39">
        <v>1.3615384614999999</v>
      </c>
      <c r="Z4" s="39">
        <v>1.3636363636</v>
      </c>
      <c r="AA4" s="39">
        <v>1.3636363636</v>
      </c>
      <c r="AB4" s="39">
        <v>179.85</v>
      </c>
      <c r="AC4" s="39">
        <v>17.465537495307721</v>
      </c>
      <c r="AD4" s="39">
        <v>192.2</v>
      </c>
      <c r="AE4" s="39">
        <v>192.2</v>
      </c>
      <c r="AF4" s="39">
        <v>167.5</v>
      </c>
      <c r="AG4" s="39">
        <v>167.5</v>
      </c>
    </row>
    <row r="5" spans="1:33">
      <c r="A5" s="25"/>
      <c r="B5" s="25"/>
      <c r="C5" s="6"/>
      <c r="D5" s="6"/>
      <c r="E5" s="6"/>
      <c r="F5" s="6"/>
      <c r="G5" s="6"/>
      <c r="H5" s="6"/>
      <c r="I5" s="6"/>
    </row>
  </sheetData>
  <mergeCells count="16">
    <mergeCell ref="A1:A3"/>
    <mergeCell ref="B1:B3"/>
    <mergeCell ref="V1:AG1"/>
    <mergeCell ref="J1:U1"/>
    <mergeCell ref="P2:U2"/>
    <mergeCell ref="C1:C3"/>
    <mergeCell ref="D1:I1"/>
    <mergeCell ref="D2:D3"/>
    <mergeCell ref="E2:E3"/>
    <mergeCell ref="F2:F3"/>
    <mergeCell ref="G2:G3"/>
    <mergeCell ref="H2:H3"/>
    <mergeCell ref="I2:I3"/>
    <mergeCell ref="V2:AA2"/>
    <mergeCell ref="J2:O2"/>
    <mergeCell ref="AB2:AG2"/>
  </mergeCells>
  <phoneticPr fontId="7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41"/>
  <sheetViews>
    <sheetView zoomScale="85" zoomScaleNormal="85" workbookViewId="0">
      <pane xSplit="2" ySplit="3" topLeftCell="O4" activePane="bottomRight" state="frozen"/>
      <selection pane="topRight"/>
      <selection pane="bottomLeft"/>
      <selection pane="bottomRight" activeCell="J4" sqref="J4:AG41"/>
    </sheetView>
  </sheetViews>
  <sheetFormatPr defaultRowHeight="16.5"/>
  <cols>
    <col min="1" max="1" width="14" customWidth="1"/>
    <col min="2" max="2" width="34.375" style="6" customWidth="1"/>
    <col min="3" max="3" width="12" style="6" customWidth="1"/>
    <col min="4" max="9" width="10.875" style="6" customWidth="1"/>
    <col min="10" max="33" width="11" customWidth="1"/>
  </cols>
  <sheetData>
    <row r="1" spans="1:33" ht="16.5" customHeight="1">
      <c r="A1" s="90" t="s">
        <v>2</v>
      </c>
      <c r="B1" s="90" t="s">
        <v>3</v>
      </c>
      <c r="C1" s="86" t="s">
        <v>79</v>
      </c>
      <c r="D1" s="71" t="s">
        <v>78</v>
      </c>
      <c r="E1" s="71"/>
      <c r="F1" s="71"/>
      <c r="G1" s="71"/>
      <c r="H1" s="71"/>
      <c r="I1" s="71"/>
      <c r="J1" s="75" t="s">
        <v>113</v>
      </c>
      <c r="K1" s="76"/>
      <c r="L1" s="76"/>
      <c r="M1" s="76"/>
      <c r="N1" s="76"/>
      <c r="O1" s="76"/>
      <c r="P1" s="76"/>
      <c r="Q1" s="76"/>
      <c r="R1" s="76"/>
      <c r="S1" s="76"/>
      <c r="T1" s="76"/>
      <c r="U1" s="77"/>
      <c r="V1" s="75" t="s">
        <v>116</v>
      </c>
      <c r="W1" s="76"/>
      <c r="X1" s="76"/>
      <c r="Y1" s="76"/>
      <c r="Z1" s="76"/>
      <c r="AA1" s="76"/>
      <c r="AB1" s="76"/>
      <c r="AC1" s="76"/>
      <c r="AD1" s="76"/>
      <c r="AE1" s="76"/>
      <c r="AF1" s="76"/>
      <c r="AG1" s="77"/>
    </row>
    <row r="2" spans="1:33" ht="21.95" customHeight="1">
      <c r="A2" s="91"/>
      <c r="B2" s="91"/>
      <c r="C2" s="86"/>
      <c r="D2" s="71" t="s">
        <v>70</v>
      </c>
      <c r="E2" s="71" t="s">
        <v>71</v>
      </c>
      <c r="F2" s="71" t="s">
        <v>72</v>
      </c>
      <c r="G2" s="86" t="s">
        <v>73</v>
      </c>
      <c r="H2" s="69" t="s">
        <v>74</v>
      </c>
      <c r="I2" s="86" t="s">
        <v>75</v>
      </c>
      <c r="J2" s="87" t="s">
        <v>4</v>
      </c>
      <c r="K2" s="88"/>
      <c r="L2" s="88"/>
      <c r="M2" s="88"/>
      <c r="N2" s="88"/>
      <c r="O2" s="89"/>
      <c r="P2" s="110" t="s">
        <v>128</v>
      </c>
      <c r="Q2" s="76"/>
      <c r="R2" s="76"/>
      <c r="S2" s="76"/>
      <c r="T2" s="76"/>
      <c r="U2" s="77"/>
      <c r="V2" s="87" t="s">
        <v>4</v>
      </c>
      <c r="W2" s="88"/>
      <c r="X2" s="88"/>
      <c r="Y2" s="88"/>
      <c r="Z2" s="88"/>
      <c r="AA2" s="89"/>
      <c r="AB2" s="75" t="s">
        <v>122</v>
      </c>
      <c r="AC2" s="76"/>
      <c r="AD2" s="76"/>
      <c r="AE2" s="76"/>
      <c r="AF2" s="76"/>
      <c r="AG2" s="77"/>
    </row>
    <row r="3" spans="1:33" ht="21.95" customHeight="1">
      <c r="A3" s="92"/>
      <c r="B3" s="92"/>
      <c r="C3" s="86"/>
      <c r="D3" s="71"/>
      <c r="E3" s="71"/>
      <c r="F3" s="71"/>
      <c r="G3" s="86"/>
      <c r="H3" s="70"/>
      <c r="I3" s="86"/>
      <c r="J3" s="1" t="s">
        <v>6</v>
      </c>
      <c r="K3" s="1" t="s">
        <v>7</v>
      </c>
      <c r="L3" s="1" t="s">
        <v>10</v>
      </c>
      <c r="M3" s="1" t="s">
        <v>8</v>
      </c>
      <c r="N3" s="1" t="s">
        <v>9</v>
      </c>
      <c r="O3" s="1" t="s">
        <v>11</v>
      </c>
      <c r="P3" s="1" t="s">
        <v>6</v>
      </c>
      <c r="Q3" s="1" t="s">
        <v>7</v>
      </c>
      <c r="R3" s="1" t="s">
        <v>12</v>
      </c>
      <c r="S3" s="1" t="s">
        <v>8</v>
      </c>
      <c r="T3" s="1" t="s">
        <v>9</v>
      </c>
      <c r="U3" s="1" t="s">
        <v>13</v>
      </c>
      <c r="V3" s="1" t="s">
        <v>6</v>
      </c>
      <c r="W3" s="1" t="s">
        <v>7</v>
      </c>
      <c r="X3" s="1" t="s">
        <v>10</v>
      </c>
      <c r="Y3" s="1" t="s">
        <v>8</v>
      </c>
      <c r="Z3" s="1" t="s">
        <v>9</v>
      </c>
      <c r="AA3" s="1" t="s">
        <v>11</v>
      </c>
      <c r="AB3" s="1" t="s">
        <v>6</v>
      </c>
      <c r="AC3" s="1" t="s">
        <v>7</v>
      </c>
      <c r="AD3" s="1" t="s">
        <v>12</v>
      </c>
      <c r="AE3" s="1" t="s">
        <v>8</v>
      </c>
      <c r="AF3" s="1" t="s">
        <v>9</v>
      </c>
      <c r="AG3" s="1" t="s">
        <v>13</v>
      </c>
    </row>
    <row r="4" spans="1:33">
      <c r="A4" s="90" t="s">
        <v>14</v>
      </c>
      <c r="B4" s="17" t="s">
        <v>15</v>
      </c>
      <c r="C4" s="90">
        <v>6</v>
      </c>
      <c r="D4" s="90">
        <v>11</v>
      </c>
      <c r="E4" s="17">
        <v>4</v>
      </c>
      <c r="F4" s="111">
        <f>19/11</f>
        <v>1.7272727272727273</v>
      </c>
      <c r="G4" s="17" t="s">
        <v>81</v>
      </c>
      <c r="H4" s="17">
        <v>2</v>
      </c>
      <c r="I4" s="90">
        <v>11</v>
      </c>
      <c r="J4" s="39">
        <v>5.4071969697000002</v>
      </c>
      <c r="K4" s="39">
        <v>0.1633845213676729</v>
      </c>
      <c r="L4" s="39">
        <v>5.2916666667000003</v>
      </c>
      <c r="M4" s="39">
        <v>5.2916666667000003</v>
      </c>
      <c r="N4" s="39">
        <v>5.5227272727000001</v>
      </c>
      <c r="O4" s="39">
        <v>5.5227272727000001</v>
      </c>
      <c r="P4" s="39">
        <v>949.05849999999998</v>
      </c>
      <c r="Q4" s="39">
        <v>6.1398081810427874</v>
      </c>
      <c r="R4" s="39">
        <v>953.4</v>
      </c>
      <c r="S4" s="39">
        <v>953.4</v>
      </c>
      <c r="T4" s="39">
        <v>944.71699999999998</v>
      </c>
      <c r="U4" s="39">
        <v>944.71699999999998</v>
      </c>
      <c r="V4" s="39">
        <v>5.9315764023000002</v>
      </c>
      <c r="W4" s="39">
        <v>0.57819998404475537</v>
      </c>
      <c r="X4" s="39">
        <v>5.5227272727000001</v>
      </c>
      <c r="Y4" s="39">
        <v>5.5227272727000001</v>
      </c>
      <c r="Z4" s="39">
        <v>6.3404255319000002</v>
      </c>
      <c r="AA4" s="39">
        <v>6.3404255319000002</v>
      </c>
      <c r="AB4" s="39">
        <v>917.47399999999993</v>
      </c>
      <c r="AC4" s="39">
        <v>38.52742007973022</v>
      </c>
      <c r="AD4" s="39">
        <v>944.71699999999998</v>
      </c>
      <c r="AE4" s="39">
        <v>944.71699999999998</v>
      </c>
      <c r="AF4" s="39">
        <v>890.23099999999999</v>
      </c>
      <c r="AG4" s="39">
        <v>890.23099999999999</v>
      </c>
    </row>
    <row r="5" spans="1:33">
      <c r="A5" s="91"/>
      <c r="B5" s="17" t="s">
        <v>16</v>
      </c>
      <c r="C5" s="91"/>
      <c r="D5" s="91"/>
      <c r="E5" s="30">
        <v>6</v>
      </c>
      <c r="F5" s="112"/>
      <c r="G5" s="17" t="s">
        <v>81</v>
      </c>
      <c r="H5" s="17">
        <v>1</v>
      </c>
      <c r="I5" s="91"/>
      <c r="J5" s="39">
        <v>3.8576832150999998</v>
      </c>
      <c r="K5" s="39">
        <v>0.64124388008149724</v>
      </c>
      <c r="L5" s="39">
        <v>3.4042553190999998</v>
      </c>
      <c r="M5" s="39">
        <v>3.4042553190999998</v>
      </c>
      <c r="N5" s="39">
        <v>4.3111111110999998</v>
      </c>
      <c r="O5" s="39">
        <v>4.3111111110999998</v>
      </c>
      <c r="P5" s="39">
        <v>1001.105</v>
      </c>
      <c r="Q5" s="39">
        <v>20.804495716070619</v>
      </c>
      <c r="R5" s="39">
        <v>1015.816</v>
      </c>
      <c r="S5" s="39">
        <v>1015.816</v>
      </c>
      <c r="T5" s="39">
        <v>986.39400000000001</v>
      </c>
      <c r="U5" s="39">
        <v>986.39400000000001</v>
      </c>
      <c r="V5" s="39">
        <v>4.8723404255</v>
      </c>
      <c r="W5" s="39"/>
      <c r="X5" s="39">
        <v>4.8723404255</v>
      </c>
      <c r="Y5" s="39">
        <v>4.8723404255</v>
      </c>
      <c r="Z5" s="39">
        <v>4.8723404255</v>
      </c>
      <c r="AA5" s="39">
        <v>4.8723404255</v>
      </c>
      <c r="AB5" s="39">
        <v>967.66</v>
      </c>
      <c r="AC5" s="39"/>
      <c r="AD5" s="39">
        <v>967.66</v>
      </c>
      <c r="AE5" s="39">
        <v>967.66</v>
      </c>
      <c r="AF5" s="39">
        <v>967.66</v>
      </c>
      <c r="AG5" s="39">
        <v>967.66</v>
      </c>
    </row>
    <row r="6" spans="1:33">
      <c r="A6" s="91"/>
      <c r="B6" s="17" t="s">
        <v>17</v>
      </c>
      <c r="C6" s="91"/>
      <c r="D6" s="91"/>
      <c r="E6" s="30">
        <v>1</v>
      </c>
      <c r="F6" s="112"/>
      <c r="G6" s="17" t="s">
        <v>81</v>
      </c>
      <c r="H6" s="17">
        <v>1</v>
      </c>
      <c r="I6" s="91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>
        <v>5.2045454544999998</v>
      </c>
      <c r="W6" s="39"/>
      <c r="X6" s="39">
        <v>5.2045454544999998</v>
      </c>
      <c r="Y6" s="39">
        <v>5.2045454544999998</v>
      </c>
      <c r="Z6" s="39">
        <v>5.2045454544999998</v>
      </c>
      <c r="AA6" s="39">
        <v>5.2045454544999998</v>
      </c>
      <c r="AB6" s="39">
        <v>930.69600000000003</v>
      </c>
      <c r="AC6" s="39"/>
      <c r="AD6" s="39">
        <v>930.69600000000003</v>
      </c>
      <c r="AE6" s="39">
        <v>930.69600000000003</v>
      </c>
      <c r="AF6" s="39">
        <v>930.69600000000003</v>
      </c>
      <c r="AG6" s="39">
        <v>930.69600000000003</v>
      </c>
    </row>
    <row r="7" spans="1:33">
      <c r="A7" s="91"/>
      <c r="B7" s="17" t="s">
        <v>18</v>
      </c>
      <c r="C7" s="91"/>
      <c r="D7" s="91"/>
      <c r="E7" s="30">
        <v>4</v>
      </c>
      <c r="F7" s="112"/>
      <c r="G7" s="17" t="s">
        <v>81</v>
      </c>
      <c r="H7" s="17">
        <v>1</v>
      </c>
      <c r="I7" s="91"/>
      <c r="J7" s="39">
        <v>4.7959183672999997</v>
      </c>
      <c r="K7" s="39"/>
      <c r="L7" s="39">
        <v>4.7959183672999997</v>
      </c>
      <c r="M7" s="39">
        <v>4.7959183672999997</v>
      </c>
      <c r="N7" s="39">
        <v>4.7959183672999997</v>
      </c>
      <c r="O7" s="39">
        <v>4.7959183672999997</v>
      </c>
      <c r="P7" s="39">
        <v>962.58799999999997</v>
      </c>
      <c r="Q7" s="39"/>
      <c r="R7" s="39">
        <v>962.58799999999997</v>
      </c>
      <c r="S7" s="39">
        <v>962.58799999999997</v>
      </c>
      <c r="T7" s="39">
        <v>962.58799999999997</v>
      </c>
      <c r="U7" s="39">
        <v>962.58799999999997</v>
      </c>
      <c r="V7" s="39">
        <v>5.9166666667000003</v>
      </c>
      <c r="W7" s="39"/>
      <c r="X7" s="39">
        <v>5.9166666667000003</v>
      </c>
      <c r="Y7" s="39">
        <v>5.9166666667000003</v>
      </c>
      <c r="Z7" s="39">
        <v>5.9166666667000003</v>
      </c>
      <c r="AA7" s="39">
        <v>5.9166666667000003</v>
      </c>
      <c r="AB7" s="39">
        <v>907.9</v>
      </c>
      <c r="AC7" s="39"/>
      <c r="AD7" s="39">
        <v>907.9</v>
      </c>
      <c r="AE7" s="39">
        <v>907.9</v>
      </c>
      <c r="AF7" s="39">
        <v>907.9</v>
      </c>
      <c r="AG7" s="39">
        <v>907.9</v>
      </c>
    </row>
    <row r="8" spans="1:33">
      <c r="A8" s="92"/>
      <c r="B8" s="17" t="s">
        <v>20</v>
      </c>
      <c r="C8" s="92"/>
      <c r="D8" s="92"/>
      <c r="E8" s="30">
        <v>4</v>
      </c>
      <c r="F8" s="113"/>
      <c r="G8" s="17" t="s">
        <v>81</v>
      </c>
      <c r="H8" s="17">
        <v>1</v>
      </c>
      <c r="I8" s="92"/>
      <c r="J8" s="39">
        <v>4.7608695652000002</v>
      </c>
      <c r="K8" s="39"/>
      <c r="L8" s="39">
        <v>4.7608695652000002</v>
      </c>
      <c r="M8" s="39">
        <v>4.7608695652000002</v>
      </c>
      <c r="N8" s="39">
        <v>4.7608695652000002</v>
      </c>
      <c r="O8" s="39">
        <v>4.7608695652000002</v>
      </c>
      <c r="P8" s="39">
        <v>968.125</v>
      </c>
      <c r="Q8" s="39"/>
      <c r="R8" s="39">
        <v>968.125</v>
      </c>
      <c r="S8" s="39">
        <v>968.125</v>
      </c>
      <c r="T8" s="39">
        <v>968.125</v>
      </c>
      <c r="U8" s="39">
        <v>968.125</v>
      </c>
      <c r="V8" s="39">
        <v>4.7608695652000002</v>
      </c>
      <c r="W8" s="39"/>
      <c r="X8" s="39">
        <v>4.7608695652000002</v>
      </c>
      <c r="Y8" s="39">
        <v>4.7608695652000002</v>
      </c>
      <c r="Z8" s="39">
        <v>4.7608695652000002</v>
      </c>
      <c r="AA8" s="39">
        <v>4.7608695652000002</v>
      </c>
      <c r="AB8" s="39">
        <v>968.125</v>
      </c>
      <c r="AC8" s="39"/>
      <c r="AD8" s="39">
        <v>968.125</v>
      </c>
      <c r="AE8" s="39">
        <v>968.125</v>
      </c>
      <c r="AF8" s="39">
        <v>968.125</v>
      </c>
      <c r="AG8" s="39">
        <v>968.125</v>
      </c>
    </row>
    <row r="9" spans="1:33">
      <c r="A9" s="90" t="s">
        <v>22</v>
      </c>
      <c r="B9" s="17" t="s">
        <v>23</v>
      </c>
      <c r="C9" s="90">
        <v>9</v>
      </c>
      <c r="D9" s="90">
        <v>9</v>
      </c>
      <c r="E9" s="30">
        <v>8</v>
      </c>
      <c r="F9" s="111">
        <v>4</v>
      </c>
      <c r="G9" s="17" t="s">
        <v>81</v>
      </c>
      <c r="H9" s="17">
        <v>2</v>
      </c>
      <c r="I9" s="90">
        <v>12</v>
      </c>
      <c r="J9" s="39">
        <v>4.7872340425999997</v>
      </c>
      <c r="K9" s="39"/>
      <c r="L9" s="39">
        <v>4.7872340425999997</v>
      </c>
      <c r="M9" s="39">
        <v>4.7872340425999997</v>
      </c>
      <c r="N9" s="39">
        <v>4.7872340425999997</v>
      </c>
      <c r="O9" s="39">
        <v>4.7872340425999997</v>
      </c>
      <c r="P9" s="39">
        <v>956.90800000000002</v>
      </c>
      <c r="Q9" s="39"/>
      <c r="R9" s="39">
        <v>956.90800000000002</v>
      </c>
      <c r="S9" s="39">
        <v>956.90800000000002</v>
      </c>
      <c r="T9" s="39">
        <v>956.90800000000002</v>
      </c>
      <c r="U9" s="39">
        <v>956.90800000000002</v>
      </c>
      <c r="V9" s="39">
        <v>4.9052449283000001</v>
      </c>
      <c r="W9" s="39">
        <v>0.16689259506460111</v>
      </c>
      <c r="X9" s="39">
        <v>4.7872340425999997</v>
      </c>
      <c r="Y9" s="39">
        <v>4.7872340425999997</v>
      </c>
      <c r="Z9" s="39">
        <v>5.0232558139999997</v>
      </c>
      <c r="AA9" s="39">
        <v>5.0232558139999997</v>
      </c>
      <c r="AB9" s="39">
        <v>951.26649999999995</v>
      </c>
      <c r="AC9" s="39">
        <v>7.9782858121278268</v>
      </c>
      <c r="AD9" s="39">
        <v>956.90800000000002</v>
      </c>
      <c r="AE9" s="39">
        <v>956.90800000000002</v>
      </c>
      <c r="AF9" s="39">
        <v>945.625</v>
      </c>
      <c r="AG9" s="39">
        <v>945.625</v>
      </c>
    </row>
    <row r="10" spans="1:33" s="4" customFormat="1">
      <c r="A10" s="91"/>
      <c r="B10" s="17" t="s">
        <v>83</v>
      </c>
      <c r="C10" s="91"/>
      <c r="D10" s="91"/>
      <c r="E10" s="30">
        <v>1</v>
      </c>
      <c r="F10" s="112"/>
      <c r="G10" s="17" t="s">
        <v>81</v>
      </c>
      <c r="H10" s="17">
        <v>0</v>
      </c>
      <c r="I10" s="91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</row>
    <row r="11" spans="1:33">
      <c r="A11" s="91"/>
      <c r="B11" s="17" t="s">
        <v>25</v>
      </c>
      <c r="C11" s="91"/>
      <c r="D11" s="91"/>
      <c r="E11" s="30">
        <v>11</v>
      </c>
      <c r="F11" s="112"/>
      <c r="G11" s="17" t="s">
        <v>81</v>
      </c>
      <c r="H11" s="17">
        <v>3</v>
      </c>
      <c r="I11" s="91"/>
      <c r="J11" s="39">
        <v>4.9893617021500001</v>
      </c>
      <c r="K11" s="39">
        <v>1.504482510003443E-2</v>
      </c>
      <c r="L11" s="39">
        <v>4.9787234043000002</v>
      </c>
      <c r="M11" s="39">
        <v>4.9787234043000002</v>
      </c>
      <c r="N11" s="39">
        <v>5</v>
      </c>
      <c r="O11" s="39">
        <v>5</v>
      </c>
      <c r="P11" s="39">
        <v>958.26900000000001</v>
      </c>
      <c r="Q11" s="39">
        <v>1.7804948750277469</v>
      </c>
      <c r="R11" s="39">
        <v>959.52800000000002</v>
      </c>
      <c r="S11" s="39">
        <v>959.52800000000002</v>
      </c>
      <c r="T11" s="39">
        <v>957.01</v>
      </c>
      <c r="U11" s="39">
        <v>957.01</v>
      </c>
      <c r="V11" s="39">
        <v>5.2803782506000001</v>
      </c>
      <c r="W11" s="39">
        <v>0.28747939204297818</v>
      </c>
      <c r="X11" s="39">
        <v>5</v>
      </c>
      <c r="Y11" s="39">
        <v>5.2666666666999999</v>
      </c>
      <c r="Z11" s="39">
        <v>5.5744680851000004</v>
      </c>
      <c r="AA11" s="39">
        <v>5.5744680851000004</v>
      </c>
      <c r="AB11" s="39">
        <v>942.90133333333324</v>
      </c>
      <c r="AC11" s="39">
        <v>14.87213415530314</v>
      </c>
      <c r="AD11" s="39">
        <v>959.52800000000002</v>
      </c>
      <c r="AE11" s="39">
        <v>938.30899999999997</v>
      </c>
      <c r="AF11" s="39">
        <v>930.86699999999996</v>
      </c>
      <c r="AG11" s="39">
        <v>930.86699999999996</v>
      </c>
    </row>
    <row r="12" spans="1:33">
      <c r="A12" s="91"/>
      <c r="B12" s="17" t="s">
        <v>26</v>
      </c>
      <c r="C12" s="91"/>
      <c r="D12" s="91"/>
      <c r="E12" s="30">
        <v>6</v>
      </c>
      <c r="F12" s="112"/>
      <c r="G12" s="17" t="s">
        <v>81</v>
      </c>
      <c r="H12" s="17">
        <v>2</v>
      </c>
      <c r="I12" s="91"/>
      <c r="J12" s="39">
        <v>4.4859490985999999</v>
      </c>
      <c r="K12" s="39">
        <v>0.20433361388155349</v>
      </c>
      <c r="L12" s="39">
        <v>4.3414634145999997</v>
      </c>
      <c r="M12" s="39">
        <v>4.3414634145999997</v>
      </c>
      <c r="N12" s="39">
        <v>4.6304347826000001</v>
      </c>
      <c r="O12" s="39">
        <v>4.6304347826000001</v>
      </c>
      <c r="P12" s="39">
        <v>979.93200000000002</v>
      </c>
      <c r="Q12" s="39">
        <v>25.182900905177721</v>
      </c>
      <c r="R12" s="39">
        <v>997.73900000000003</v>
      </c>
      <c r="S12" s="39">
        <v>997.73900000000003</v>
      </c>
      <c r="T12" s="39">
        <v>962.125</v>
      </c>
      <c r="U12" s="39">
        <v>962.125</v>
      </c>
      <c r="V12" s="39">
        <v>4.9021739130499986</v>
      </c>
      <c r="W12" s="39">
        <v>0.3842971637098615</v>
      </c>
      <c r="X12" s="39">
        <v>4.6304347826000001</v>
      </c>
      <c r="Y12" s="39">
        <v>4.6304347826000001</v>
      </c>
      <c r="Z12" s="39">
        <v>5.1739130434999998</v>
      </c>
      <c r="AA12" s="39">
        <v>5.1739130434999998</v>
      </c>
      <c r="AB12" s="39">
        <v>955.5625</v>
      </c>
      <c r="AC12" s="39">
        <v>9.2807765030734366</v>
      </c>
      <c r="AD12" s="39">
        <v>962.125</v>
      </c>
      <c r="AE12" s="39">
        <v>962.125</v>
      </c>
      <c r="AF12" s="39">
        <v>949</v>
      </c>
      <c r="AG12" s="39">
        <v>949</v>
      </c>
    </row>
    <row r="13" spans="1:33" s="4" customFormat="1">
      <c r="A13" s="91"/>
      <c r="B13" s="17" t="s">
        <v>85</v>
      </c>
      <c r="C13" s="91"/>
      <c r="D13" s="91"/>
      <c r="E13" s="30">
        <v>1</v>
      </c>
      <c r="F13" s="112"/>
      <c r="G13" s="17" t="s">
        <v>81</v>
      </c>
      <c r="H13" s="17">
        <v>0</v>
      </c>
      <c r="I13" s="91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</row>
    <row r="14" spans="1:33">
      <c r="A14" s="91"/>
      <c r="B14" s="17" t="s">
        <v>28</v>
      </c>
      <c r="C14" s="91"/>
      <c r="D14" s="91"/>
      <c r="E14" s="30">
        <v>4</v>
      </c>
      <c r="F14" s="112"/>
      <c r="G14" s="17" t="s">
        <v>81</v>
      </c>
      <c r="H14" s="17">
        <v>0</v>
      </c>
      <c r="I14" s="91"/>
      <c r="J14" s="39">
        <v>4.6983695652000002</v>
      </c>
      <c r="K14" s="39">
        <v>0.45731362476453102</v>
      </c>
      <c r="L14" s="39">
        <v>4.375</v>
      </c>
      <c r="M14" s="39">
        <v>4.375</v>
      </c>
      <c r="N14" s="39">
        <v>5.0217391304000003</v>
      </c>
      <c r="O14" s="39">
        <v>5.0217391304000003</v>
      </c>
      <c r="P14" s="39">
        <v>959.08749999999998</v>
      </c>
      <c r="Q14" s="39">
        <v>15.14976278692175</v>
      </c>
      <c r="R14" s="39">
        <v>969.8</v>
      </c>
      <c r="S14" s="39">
        <v>969.8</v>
      </c>
      <c r="T14" s="39">
        <v>948.375</v>
      </c>
      <c r="U14" s="39">
        <v>948.375</v>
      </c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</row>
    <row r="15" spans="1:33">
      <c r="A15" s="91"/>
      <c r="B15" s="17" t="s">
        <v>29</v>
      </c>
      <c r="C15" s="91"/>
      <c r="D15" s="91"/>
      <c r="E15" s="30">
        <v>1</v>
      </c>
      <c r="F15" s="112"/>
      <c r="G15" s="17" t="s">
        <v>81</v>
      </c>
      <c r="H15" s="17">
        <v>1</v>
      </c>
      <c r="I15" s="91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>
        <v>5.4285714285999997</v>
      </c>
      <c r="W15" s="39"/>
      <c r="X15" s="39">
        <v>5.4285714285999997</v>
      </c>
      <c r="Y15" s="39">
        <v>5.4285714285999997</v>
      </c>
      <c r="Z15" s="39">
        <v>5.4285714285999997</v>
      </c>
      <c r="AA15" s="39">
        <v>5.4285714285999997</v>
      </c>
      <c r="AB15" s="39">
        <v>926</v>
      </c>
      <c r="AC15" s="39"/>
      <c r="AD15" s="39">
        <v>926</v>
      </c>
      <c r="AE15" s="39">
        <v>926</v>
      </c>
      <c r="AF15" s="39">
        <v>926</v>
      </c>
      <c r="AG15" s="39">
        <v>926</v>
      </c>
    </row>
    <row r="16" spans="1:33">
      <c r="A16" s="91"/>
      <c r="B16" s="17" t="s">
        <v>110</v>
      </c>
      <c r="C16" s="91"/>
      <c r="D16" s="91"/>
      <c r="E16" s="30">
        <v>3</v>
      </c>
      <c r="F16" s="112"/>
      <c r="G16" s="17" t="s">
        <v>81</v>
      </c>
      <c r="H16" s="17">
        <v>1</v>
      </c>
      <c r="I16" s="91"/>
      <c r="J16" s="39">
        <v>4.2268445840000002</v>
      </c>
      <c r="K16" s="39">
        <v>0.42959234585513162</v>
      </c>
      <c r="L16" s="39">
        <v>3.9230769231</v>
      </c>
      <c r="M16" s="39">
        <v>3.9230769231</v>
      </c>
      <c r="N16" s="39">
        <v>4.5306122449000004</v>
      </c>
      <c r="O16" s="39">
        <v>4.5306122449000004</v>
      </c>
      <c r="P16" s="39">
        <v>973.36750000000006</v>
      </c>
      <c r="Q16" s="39">
        <v>22.81480029498395</v>
      </c>
      <c r="R16" s="39">
        <v>989.5</v>
      </c>
      <c r="S16" s="39">
        <v>989.5</v>
      </c>
      <c r="T16" s="39">
        <v>957.23500000000001</v>
      </c>
      <c r="U16" s="39">
        <v>957.23500000000001</v>
      </c>
      <c r="V16" s="39">
        <v>4.5306122449000004</v>
      </c>
      <c r="W16" s="39"/>
      <c r="X16" s="39">
        <v>4.5306122449000004</v>
      </c>
      <c r="Y16" s="39">
        <v>4.5306122449000004</v>
      </c>
      <c r="Z16" s="39">
        <v>4.5306122449000004</v>
      </c>
      <c r="AA16" s="39">
        <v>4.5306122449000004</v>
      </c>
      <c r="AB16" s="39">
        <v>957.23500000000001</v>
      </c>
      <c r="AC16" s="39"/>
      <c r="AD16" s="39">
        <v>957.23500000000001</v>
      </c>
      <c r="AE16" s="39">
        <v>957.23500000000001</v>
      </c>
      <c r="AF16" s="39">
        <v>957.23500000000001</v>
      </c>
      <c r="AG16" s="39">
        <v>957.23500000000001</v>
      </c>
    </row>
    <row r="17" spans="1:33" s="4" customFormat="1">
      <c r="A17" s="92"/>
      <c r="B17" s="17" t="s">
        <v>84</v>
      </c>
      <c r="C17" s="92"/>
      <c r="D17" s="92"/>
      <c r="E17" s="30">
        <v>1</v>
      </c>
      <c r="F17" s="113"/>
      <c r="G17" s="17" t="s">
        <v>81</v>
      </c>
      <c r="H17" s="17">
        <v>0</v>
      </c>
      <c r="I17" s="92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</row>
    <row r="18" spans="1:33" s="9" customFormat="1" ht="33">
      <c r="A18" s="64" t="s">
        <v>31</v>
      </c>
      <c r="B18" s="22" t="s">
        <v>124</v>
      </c>
      <c r="C18" s="64">
        <v>5</v>
      </c>
      <c r="D18" s="64">
        <v>5</v>
      </c>
      <c r="E18" s="30">
        <v>2</v>
      </c>
      <c r="F18" s="114">
        <v>2</v>
      </c>
      <c r="G18" s="17" t="s">
        <v>81</v>
      </c>
      <c r="H18" s="23">
        <v>0</v>
      </c>
      <c r="I18" s="64">
        <v>2</v>
      </c>
      <c r="J18" s="24">
        <v>4.9111111111000003</v>
      </c>
      <c r="K18" s="24"/>
      <c r="L18" s="24">
        <v>4.9111111111000003</v>
      </c>
      <c r="M18" s="39">
        <v>4.9111111111000003</v>
      </c>
      <c r="N18" s="39">
        <v>4.9111111111000003</v>
      </c>
      <c r="O18" s="24">
        <v>4.9111111111000003</v>
      </c>
      <c r="P18" s="24">
        <v>964.66</v>
      </c>
      <c r="Q18" s="24"/>
      <c r="R18" s="24">
        <v>964.66</v>
      </c>
      <c r="S18" s="39">
        <v>964.66</v>
      </c>
      <c r="T18" s="39">
        <v>964.66</v>
      </c>
      <c r="U18" s="24">
        <v>964.66</v>
      </c>
      <c r="V18" s="24"/>
      <c r="W18" s="24"/>
      <c r="X18" s="24"/>
      <c r="Y18" s="39"/>
      <c r="Z18" s="39"/>
      <c r="AA18" s="24"/>
      <c r="AB18" s="24"/>
      <c r="AC18" s="24"/>
      <c r="AD18" s="24"/>
      <c r="AE18" s="39"/>
      <c r="AF18" s="39"/>
      <c r="AG18" s="24"/>
    </row>
    <row r="19" spans="1:33" s="9" customFormat="1">
      <c r="A19" s="66"/>
      <c r="B19" s="23" t="s">
        <v>86</v>
      </c>
      <c r="C19" s="66"/>
      <c r="D19" s="66"/>
      <c r="E19" s="30">
        <v>2</v>
      </c>
      <c r="F19" s="115"/>
      <c r="G19" s="17" t="s">
        <v>81</v>
      </c>
      <c r="H19" s="23">
        <v>0</v>
      </c>
      <c r="I19" s="66"/>
      <c r="J19" s="24"/>
      <c r="K19" s="24"/>
      <c r="L19" s="24"/>
      <c r="M19" s="39"/>
      <c r="N19" s="39"/>
      <c r="O19" s="24"/>
      <c r="P19" s="24"/>
      <c r="Q19" s="24"/>
      <c r="R19" s="24"/>
      <c r="S19" s="39"/>
      <c r="T19" s="39"/>
      <c r="U19" s="24"/>
      <c r="V19" s="24"/>
      <c r="W19" s="24"/>
      <c r="X19" s="24"/>
      <c r="Y19" s="39"/>
      <c r="Z19" s="39"/>
      <c r="AA19" s="24"/>
      <c r="AB19" s="24"/>
      <c r="AC19" s="24"/>
      <c r="AD19" s="24"/>
      <c r="AE19" s="39"/>
      <c r="AF19" s="39"/>
      <c r="AG19" s="24"/>
    </row>
    <row r="20" spans="1:33">
      <c r="A20" s="66"/>
      <c r="B20" s="17" t="s">
        <v>33</v>
      </c>
      <c r="C20" s="66"/>
      <c r="D20" s="66"/>
      <c r="E20" s="30">
        <v>2</v>
      </c>
      <c r="F20" s="115"/>
      <c r="G20" s="17" t="s">
        <v>81</v>
      </c>
      <c r="H20" s="17">
        <v>2</v>
      </c>
      <c r="I20" s="66"/>
      <c r="J20" s="39">
        <v>5.3308253533999999</v>
      </c>
      <c r="K20" s="39">
        <v>0.33630295158669038</v>
      </c>
      <c r="L20" s="39">
        <v>5.0930232558000004</v>
      </c>
      <c r="M20" s="39">
        <v>5.0930232558000004</v>
      </c>
      <c r="N20" s="39">
        <v>5.5686274510000002</v>
      </c>
      <c r="O20" s="39">
        <v>5.5686274510000002</v>
      </c>
      <c r="P20" s="39">
        <v>951.8900000000001</v>
      </c>
      <c r="Q20" s="39">
        <v>4.6343778438966137</v>
      </c>
      <c r="R20" s="39">
        <v>955.16700000000003</v>
      </c>
      <c r="S20" s="39">
        <v>955.16700000000003</v>
      </c>
      <c r="T20" s="39">
        <v>948.61300000000006</v>
      </c>
      <c r="U20" s="39">
        <v>948.61300000000006</v>
      </c>
      <c r="V20" s="39">
        <v>5.3308253533999999</v>
      </c>
      <c r="W20" s="39">
        <v>0.33630295158669038</v>
      </c>
      <c r="X20" s="39">
        <v>5.0930232558000004</v>
      </c>
      <c r="Y20" s="39">
        <v>5.0930232558000004</v>
      </c>
      <c r="Z20" s="39">
        <v>5.5686274510000002</v>
      </c>
      <c r="AA20" s="39">
        <v>5.5686274510000002</v>
      </c>
      <c r="AB20" s="39">
        <v>951.8900000000001</v>
      </c>
      <c r="AC20" s="39">
        <v>4.6343778438966137</v>
      </c>
      <c r="AD20" s="39">
        <v>955.16700000000003</v>
      </c>
      <c r="AE20" s="39">
        <v>955.16700000000003</v>
      </c>
      <c r="AF20" s="39">
        <v>948.61300000000006</v>
      </c>
      <c r="AG20" s="39">
        <v>948.61300000000006</v>
      </c>
    </row>
    <row r="21" spans="1:33">
      <c r="A21" s="66"/>
      <c r="B21" s="17" t="s">
        <v>34</v>
      </c>
      <c r="C21" s="66"/>
      <c r="D21" s="66"/>
      <c r="E21" s="30">
        <v>2</v>
      </c>
      <c r="F21" s="115"/>
      <c r="G21" s="17" t="s">
        <v>81</v>
      </c>
      <c r="H21" s="17">
        <v>2</v>
      </c>
      <c r="I21" s="66"/>
      <c r="J21" s="39">
        <v>4.9148936169999997</v>
      </c>
      <c r="K21" s="39"/>
      <c r="L21" s="39">
        <v>4.9148936169999997</v>
      </c>
      <c r="M21" s="39">
        <v>4.9148936169999997</v>
      </c>
      <c r="N21" s="39">
        <v>4.9148936169999997</v>
      </c>
      <c r="O21" s="39">
        <v>4.9148936169999997</v>
      </c>
      <c r="P21" s="39">
        <v>957.23500000000001</v>
      </c>
      <c r="Q21" s="39"/>
      <c r="R21" s="39">
        <v>957.23500000000001</v>
      </c>
      <c r="S21" s="39">
        <v>957.23500000000001</v>
      </c>
      <c r="T21" s="39">
        <v>957.23500000000001</v>
      </c>
      <c r="U21" s="39">
        <v>957.23500000000001</v>
      </c>
      <c r="V21" s="39">
        <v>5.0853537852499997</v>
      </c>
      <c r="W21" s="39">
        <v>0.2410670817835496</v>
      </c>
      <c r="X21" s="39">
        <v>4.9148936169999997</v>
      </c>
      <c r="Y21" s="39">
        <v>4.9148936169999997</v>
      </c>
      <c r="Z21" s="39">
        <v>5.2558139534999997</v>
      </c>
      <c r="AA21" s="39">
        <v>5.2558139534999997</v>
      </c>
      <c r="AB21" s="39">
        <v>945.29849999999999</v>
      </c>
      <c r="AC21" s="39">
        <v>16.880760187266478</v>
      </c>
      <c r="AD21" s="39">
        <v>957.23500000000001</v>
      </c>
      <c r="AE21" s="39">
        <v>957.23500000000001</v>
      </c>
      <c r="AF21" s="39">
        <v>933.36199999999997</v>
      </c>
      <c r="AG21" s="39">
        <v>933.36199999999997</v>
      </c>
    </row>
    <row r="22" spans="1:33">
      <c r="A22" s="65"/>
      <c r="B22" s="17" t="s">
        <v>35</v>
      </c>
      <c r="C22" s="65"/>
      <c r="D22" s="65"/>
      <c r="E22" s="30">
        <v>2</v>
      </c>
      <c r="F22" s="116"/>
      <c r="G22" s="17" t="s">
        <v>81</v>
      </c>
      <c r="H22" s="17">
        <v>0</v>
      </c>
      <c r="I22" s="65"/>
      <c r="J22" s="39">
        <v>3.8260869565000002</v>
      </c>
      <c r="K22" s="39"/>
      <c r="L22" s="39">
        <v>3.8260869565000002</v>
      </c>
      <c r="M22" s="39">
        <v>3.8260869565000002</v>
      </c>
      <c r="N22" s="39">
        <v>3.8260869565000002</v>
      </c>
      <c r="O22" s="39">
        <v>3.8260869565000002</v>
      </c>
      <c r="P22" s="39">
        <v>987.75</v>
      </c>
      <c r="Q22" s="39"/>
      <c r="R22" s="39">
        <v>987.75</v>
      </c>
      <c r="S22" s="39">
        <v>987.75</v>
      </c>
      <c r="T22" s="39">
        <v>987.75</v>
      </c>
      <c r="U22" s="39">
        <v>987.75</v>
      </c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</row>
    <row r="23" spans="1:33" s="4" customFormat="1">
      <c r="A23" s="117" t="s">
        <v>37</v>
      </c>
      <c r="B23" s="17" t="s">
        <v>87</v>
      </c>
      <c r="C23" s="90">
        <v>7</v>
      </c>
      <c r="D23" s="64">
        <v>7</v>
      </c>
      <c r="E23" s="30">
        <v>5</v>
      </c>
      <c r="F23" s="114">
        <f>22/7</f>
        <v>3.1428571428571428</v>
      </c>
      <c r="G23" s="17" t="s">
        <v>81</v>
      </c>
      <c r="H23" s="17"/>
      <c r="I23" s="90">
        <v>5</v>
      </c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</row>
    <row r="24" spans="1:33">
      <c r="A24" s="108"/>
      <c r="B24" s="17" t="s">
        <v>39</v>
      </c>
      <c r="C24" s="91"/>
      <c r="D24" s="66"/>
      <c r="E24" s="30">
        <v>5</v>
      </c>
      <c r="F24" s="115"/>
      <c r="G24" s="17" t="s">
        <v>81</v>
      </c>
      <c r="H24" s="17">
        <v>1</v>
      </c>
      <c r="I24" s="91"/>
      <c r="J24" s="39">
        <v>4.3443570767999997</v>
      </c>
      <c r="K24" s="39">
        <v>1.378563868054367</v>
      </c>
      <c r="L24" s="39">
        <v>3.3695652173999999</v>
      </c>
      <c r="M24" s="39">
        <v>3.3695652173999999</v>
      </c>
      <c r="N24" s="39">
        <v>5.3191489362000004</v>
      </c>
      <c r="O24" s="39">
        <v>5.3191489362000004</v>
      </c>
      <c r="P24" s="39">
        <v>973.98849999999993</v>
      </c>
      <c r="Q24" s="39">
        <v>62.064883505086847</v>
      </c>
      <c r="R24" s="39">
        <v>1017.875</v>
      </c>
      <c r="S24" s="39">
        <v>1017.875</v>
      </c>
      <c r="T24" s="39">
        <v>930.10199999999998</v>
      </c>
      <c r="U24" s="39">
        <v>930.10199999999998</v>
      </c>
      <c r="V24" s="39">
        <v>5.5744680851000004</v>
      </c>
      <c r="W24" s="39"/>
      <c r="X24" s="39">
        <v>5.5744680851000004</v>
      </c>
      <c r="Y24" s="39">
        <v>5.5744680851000004</v>
      </c>
      <c r="Z24" s="39">
        <v>5.5744680851000004</v>
      </c>
      <c r="AA24" s="39">
        <v>5.5744680851000004</v>
      </c>
      <c r="AB24" s="39">
        <v>929.255</v>
      </c>
      <c r="AC24" s="39"/>
      <c r="AD24" s="39">
        <v>929.255</v>
      </c>
      <c r="AE24" s="39">
        <v>929.255</v>
      </c>
      <c r="AF24" s="39">
        <v>929.255</v>
      </c>
      <c r="AG24" s="39">
        <v>929.255</v>
      </c>
    </row>
    <row r="25" spans="1:33">
      <c r="A25" s="108"/>
      <c r="B25" s="17" t="s">
        <v>40</v>
      </c>
      <c r="C25" s="91"/>
      <c r="D25" s="66"/>
      <c r="E25" s="30">
        <v>4</v>
      </c>
      <c r="F25" s="115"/>
      <c r="G25" s="17" t="s">
        <v>81</v>
      </c>
      <c r="H25" s="17">
        <v>2</v>
      </c>
      <c r="I25" s="91"/>
      <c r="J25" s="39">
        <v>5.2003676470500002</v>
      </c>
      <c r="K25" s="39">
        <v>0.86568587550924392</v>
      </c>
      <c r="L25" s="39">
        <v>4.5882352941000004</v>
      </c>
      <c r="M25" s="39">
        <v>4.5882352941000004</v>
      </c>
      <c r="N25" s="39">
        <v>5.8125</v>
      </c>
      <c r="O25" s="39">
        <v>5.8125</v>
      </c>
      <c r="P25" s="39">
        <v>945.40750000000003</v>
      </c>
      <c r="Q25" s="39">
        <v>21.22381003731422</v>
      </c>
      <c r="R25" s="39">
        <v>960.41499999999996</v>
      </c>
      <c r="S25" s="39">
        <v>960.41499999999996</v>
      </c>
      <c r="T25" s="39">
        <v>930.4</v>
      </c>
      <c r="U25" s="39">
        <v>930.4</v>
      </c>
      <c r="V25" s="39">
        <v>5.9674744897999998</v>
      </c>
      <c r="W25" s="39">
        <v>0.21916702529701071</v>
      </c>
      <c r="X25" s="39">
        <v>5.8125</v>
      </c>
      <c r="Y25" s="39">
        <v>5.8125</v>
      </c>
      <c r="Z25" s="39">
        <v>6.1224489795999997</v>
      </c>
      <c r="AA25" s="39">
        <v>6.1224489795999997</v>
      </c>
      <c r="AB25" s="39">
        <v>923.53800000000001</v>
      </c>
      <c r="AC25" s="39">
        <v>9.7043334650041313</v>
      </c>
      <c r="AD25" s="39">
        <v>930.4</v>
      </c>
      <c r="AE25" s="39">
        <v>930.4</v>
      </c>
      <c r="AF25" s="39">
        <v>916.67600000000004</v>
      </c>
      <c r="AG25" s="39">
        <v>916.67600000000004</v>
      </c>
    </row>
    <row r="26" spans="1:33">
      <c r="A26" s="108"/>
      <c r="B26" s="17" t="s">
        <v>41</v>
      </c>
      <c r="C26" s="91"/>
      <c r="D26" s="66"/>
      <c r="E26" s="30">
        <v>3</v>
      </c>
      <c r="F26" s="115"/>
      <c r="G26" s="17" t="s">
        <v>81</v>
      </c>
      <c r="H26" s="17">
        <v>2</v>
      </c>
      <c r="I26" s="91"/>
      <c r="J26" s="39">
        <v>5.13937198065</v>
      </c>
      <c r="K26" s="39">
        <v>0.44851748970334149</v>
      </c>
      <c r="L26" s="39">
        <v>4.8222222221999997</v>
      </c>
      <c r="M26" s="39">
        <v>4.8222222221999997</v>
      </c>
      <c r="N26" s="39">
        <v>5.4565217391000003</v>
      </c>
      <c r="O26" s="39">
        <v>5.4565217391000003</v>
      </c>
      <c r="P26" s="39">
        <v>953.41899999999998</v>
      </c>
      <c r="Q26" s="39">
        <v>9.608166942762784</v>
      </c>
      <c r="R26" s="39">
        <v>960.21299999999997</v>
      </c>
      <c r="S26" s="39">
        <v>960.21299999999997</v>
      </c>
      <c r="T26" s="39">
        <v>946.625</v>
      </c>
      <c r="U26" s="39">
        <v>946.625</v>
      </c>
      <c r="V26" s="39">
        <v>5.13937198065</v>
      </c>
      <c r="W26" s="39">
        <v>0.44851748970334149</v>
      </c>
      <c r="X26" s="39">
        <v>4.8222222221999997</v>
      </c>
      <c r="Y26" s="39">
        <v>4.8222222221999997</v>
      </c>
      <c r="Z26" s="39">
        <v>5.4565217391000003</v>
      </c>
      <c r="AA26" s="39">
        <v>5.4565217391000003</v>
      </c>
      <c r="AB26" s="39">
        <v>953.41899999999998</v>
      </c>
      <c r="AC26" s="39">
        <v>9.608166942762784</v>
      </c>
      <c r="AD26" s="39">
        <v>960.21299999999997</v>
      </c>
      <c r="AE26" s="39">
        <v>960.21299999999997</v>
      </c>
      <c r="AF26" s="39">
        <v>946.625</v>
      </c>
      <c r="AG26" s="39">
        <v>946.625</v>
      </c>
    </row>
    <row r="27" spans="1:33">
      <c r="A27" s="109"/>
      <c r="B27" s="17" t="s">
        <v>42</v>
      </c>
      <c r="C27" s="92"/>
      <c r="D27" s="65"/>
      <c r="E27" s="30">
        <v>5</v>
      </c>
      <c r="F27" s="116"/>
      <c r="G27" s="17" t="s">
        <v>81</v>
      </c>
      <c r="H27" s="17">
        <v>2</v>
      </c>
      <c r="I27" s="92"/>
      <c r="J27" s="39">
        <v>5.0222222221999999</v>
      </c>
      <c r="K27" s="39"/>
      <c r="L27" s="39">
        <v>5.0222222221999999</v>
      </c>
      <c r="M27" s="39">
        <v>5.0222222221999999</v>
      </c>
      <c r="N27" s="39">
        <v>5.0222222221999999</v>
      </c>
      <c r="O27" s="39">
        <v>5.0222222221999999</v>
      </c>
      <c r="P27" s="39">
        <v>953.46799999999996</v>
      </c>
      <c r="Q27" s="39"/>
      <c r="R27" s="39">
        <v>953.46799999999996</v>
      </c>
      <c r="S27" s="39">
        <v>953.46799999999996</v>
      </c>
      <c r="T27" s="39">
        <v>953.46799999999996</v>
      </c>
      <c r="U27" s="39">
        <v>953.46799999999996</v>
      </c>
      <c r="V27" s="39">
        <v>5.1813238770499996</v>
      </c>
      <c r="W27" s="39">
        <v>0.22500371808487329</v>
      </c>
      <c r="X27" s="39">
        <v>5.0222222221999999</v>
      </c>
      <c r="Y27" s="39">
        <v>5.0222222221999999</v>
      </c>
      <c r="Z27" s="39">
        <v>5.3404255319000002</v>
      </c>
      <c r="AA27" s="39">
        <v>5.3404255319000002</v>
      </c>
      <c r="AB27" s="39">
        <v>941.47900000000004</v>
      </c>
      <c r="AC27" s="39">
        <v>16.955006399291001</v>
      </c>
      <c r="AD27" s="39">
        <v>953.46799999999996</v>
      </c>
      <c r="AE27" s="39">
        <v>953.46799999999996</v>
      </c>
      <c r="AF27" s="39">
        <v>929.49</v>
      </c>
      <c r="AG27" s="39">
        <v>929.49</v>
      </c>
    </row>
    <row r="28" spans="1:33" ht="33">
      <c r="A28" s="90" t="s">
        <v>44</v>
      </c>
      <c r="B28" s="22" t="s">
        <v>125</v>
      </c>
      <c r="C28" s="90">
        <v>5</v>
      </c>
      <c r="D28" s="90">
        <v>5</v>
      </c>
      <c r="E28" s="30">
        <v>3</v>
      </c>
      <c r="F28" s="111">
        <f>16/5</f>
        <v>3.2</v>
      </c>
      <c r="G28" s="17" t="s">
        <v>81</v>
      </c>
      <c r="H28" s="17">
        <v>1</v>
      </c>
      <c r="I28" s="90">
        <v>2</v>
      </c>
      <c r="J28" s="39">
        <v>3.7423167848999999</v>
      </c>
      <c r="K28" s="39">
        <v>0.20728425734235961</v>
      </c>
      <c r="L28" s="39">
        <v>3.5957446809000002</v>
      </c>
      <c r="M28" s="39">
        <v>3.5957446809000002</v>
      </c>
      <c r="N28" s="39">
        <v>3.8888888889</v>
      </c>
      <c r="O28" s="39">
        <v>3.8888888889</v>
      </c>
      <c r="P28" s="39">
        <v>987.06950000000006</v>
      </c>
      <c r="Q28" s="39">
        <v>37.811120910388297</v>
      </c>
      <c r="R28" s="39">
        <v>1013.806</v>
      </c>
      <c r="S28" s="39">
        <v>1013.806</v>
      </c>
      <c r="T28" s="39">
        <v>960.33299999999997</v>
      </c>
      <c r="U28" s="39">
        <v>960.33299999999997</v>
      </c>
      <c r="V28" s="39">
        <v>3.8888888889</v>
      </c>
      <c r="W28" s="39"/>
      <c r="X28" s="39">
        <v>3.8888888889</v>
      </c>
      <c r="Y28" s="39">
        <v>3.8888888889</v>
      </c>
      <c r="Z28" s="39">
        <v>3.8888888889</v>
      </c>
      <c r="AA28" s="39">
        <v>3.8888888889</v>
      </c>
      <c r="AB28" s="39">
        <v>960.33299999999997</v>
      </c>
      <c r="AC28" s="39"/>
      <c r="AD28" s="39">
        <v>960.33299999999997</v>
      </c>
      <c r="AE28" s="39">
        <v>960.33299999999997</v>
      </c>
      <c r="AF28" s="39">
        <v>960.33299999999997</v>
      </c>
      <c r="AG28" s="39">
        <v>960.33299999999997</v>
      </c>
    </row>
    <row r="29" spans="1:33" ht="49.5">
      <c r="A29" s="91"/>
      <c r="B29" s="22" t="s">
        <v>126</v>
      </c>
      <c r="C29" s="91"/>
      <c r="D29" s="91"/>
      <c r="E29" s="30">
        <v>4</v>
      </c>
      <c r="F29" s="112"/>
      <c r="G29" s="17" t="s">
        <v>81</v>
      </c>
      <c r="H29" s="17">
        <v>2</v>
      </c>
      <c r="I29" s="91"/>
      <c r="J29" s="39">
        <v>4.8200976042499999</v>
      </c>
      <c r="K29" s="39">
        <v>0.51417391944666169</v>
      </c>
      <c r="L29" s="39">
        <v>4.4565217391000003</v>
      </c>
      <c r="M29" s="39">
        <v>4.4565217391000003</v>
      </c>
      <c r="N29" s="39">
        <v>5.1836734694000004</v>
      </c>
      <c r="O29" s="39">
        <v>5.1836734694000004</v>
      </c>
      <c r="P29" s="39">
        <v>964.47450000000003</v>
      </c>
      <c r="Q29" s="39">
        <v>18.597615451987419</v>
      </c>
      <c r="R29" s="39">
        <v>977.625</v>
      </c>
      <c r="S29" s="39">
        <v>977.625</v>
      </c>
      <c r="T29" s="39">
        <v>951.32399999999996</v>
      </c>
      <c r="U29" s="39">
        <v>951.32399999999996</v>
      </c>
      <c r="V29" s="39">
        <v>5.3790707772499999</v>
      </c>
      <c r="W29" s="39">
        <v>0.27633352281266083</v>
      </c>
      <c r="X29" s="39">
        <v>5.1836734694000004</v>
      </c>
      <c r="Y29" s="39">
        <v>5.1836734694000004</v>
      </c>
      <c r="Z29" s="39">
        <v>5.5744680851000004</v>
      </c>
      <c r="AA29" s="39">
        <v>5.5744680851000004</v>
      </c>
      <c r="AB29" s="39">
        <v>946.0954999999999</v>
      </c>
      <c r="AC29" s="39">
        <v>7.3942156108677226</v>
      </c>
      <c r="AD29" s="39">
        <v>951.32399999999996</v>
      </c>
      <c r="AE29" s="39">
        <v>951.32399999999996</v>
      </c>
      <c r="AF29" s="39">
        <v>940.86699999999996</v>
      </c>
      <c r="AG29" s="39">
        <v>940.86699999999996</v>
      </c>
    </row>
    <row r="30" spans="1:33" ht="33">
      <c r="A30" s="92"/>
      <c r="B30" s="22" t="s">
        <v>127</v>
      </c>
      <c r="C30" s="92"/>
      <c r="D30" s="92"/>
      <c r="E30" s="30">
        <v>9</v>
      </c>
      <c r="F30" s="113"/>
      <c r="G30" s="17" t="s">
        <v>81</v>
      </c>
      <c r="H30" s="17">
        <v>2</v>
      </c>
      <c r="I30" s="92"/>
      <c r="J30" s="39">
        <v>4.5106382978999999</v>
      </c>
      <c r="K30" s="39"/>
      <c r="L30" s="39">
        <v>4.5106382978999999</v>
      </c>
      <c r="M30" s="39">
        <v>4.5106382978999999</v>
      </c>
      <c r="N30" s="39">
        <v>4.5106382978999999</v>
      </c>
      <c r="O30" s="39">
        <v>4.5106382978999999</v>
      </c>
      <c r="P30" s="39">
        <v>978.86699999999996</v>
      </c>
      <c r="Q30" s="39"/>
      <c r="R30" s="39">
        <v>978.86699999999996</v>
      </c>
      <c r="S30" s="39">
        <v>978.86699999999996</v>
      </c>
      <c r="T30" s="39">
        <v>978.86699999999996</v>
      </c>
      <c r="U30" s="39">
        <v>978.86699999999996</v>
      </c>
      <c r="V30" s="39">
        <v>4.9074930620000004</v>
      </c>
      <c r="W30" s="39">
        <v>0.56123738968259518</v>
      </c>
      <c r="X30" s="39">
        <v>4.5106382978999999</v>
      </c>
      <c r="Y30" s="39">
        <v>4.5106382978999999</v>
      </c>
      <c r="Z30" s="39">
        <v>5.3043478260999999</v>
      </c>
      <c r="AA30" s="39">
        <v>5.3043478260999999</v>
      </c>
      <c r="AB30" s="39">
        <v>960.30849999999998</v>
      </c>
      <c r="AC30" s="39">
        <v>26.24568239730106</v>
      </c>
      <c r="AD30" s="39">
        <v>978.86699999999996</v>
      </c>
      <c r="AE30" s="39">
        <v>978.86699999999996</v>
      </c>
      <c r="AF30" s="39">
        <v>941.75</v>
      </c>
      <c r="AG30" s="39">
        <v>941.75</v>
      </c>
    </row>
    <row r="31" spans="1:33">
      <c r="A31" s="2" t="s">
        <v>49</v>
      </c>
      <c r="B31" s="17" t="s">
        <v>50</v>
      </c>
      <c r="C31" s="17">
        <v>1</v>
      </c>
      <c r="D31" s="17">
        <v>1</v>
      </c>
      <c r="E31" s="30">
        <v>8</v>
      </c>
      <c r="F31" s="32">
        <v>8</v>
      </c>
      <c r="G31" s="17" t="s">
        <v>81</v>
      </c>
      <c r="H31" s="17">
        <v>1</v>
      </c>
      <c r="I31" s="17">
        <v>0</v>
      </c>
      <c r="J31" s="39">
        <v>4.7755102040999997</v>
      </c>
      <c r="K31" s="39"/>
      <c r="L31" s="39">
        <v>4.7755102040999997</v>
      </c>
      <c r="M31" s="39">
        <v>4.7755102040999997</v>
      </c>
      <c r="N31" s="39">
        <v>4.7755102040999997</v>
      </c>
      <c r="O31" s="39">
        <v>4.7755102040999997</v>
      </c>
      <c r="P31" s="39">
        <v>970.17600000000004</v>
      </c>
      <c r="Q31" s="39"/>
      <c r="R31" s="39">
        <v>970.17600000000004</v>
      </c>
      <c r="S31" s="39">
        <v>970.17600000000004</v>
      </c>
      <c r="T31" s="39">
        <v>970.17600000000004</v>
      </c>
      <c r="U31" s="39">
        <v>970.17600000000004</v>
      </c>
      <c r="V31" s="39">
        <v>4.7755102040999997</v>
      </c>
      <c r="W31" s="39"/>
      <c r="X31" s="39">
        <v>4.7755102040999997</v>
      </c>
      <c r="Y31" s="39">
        <v>4.7755102040999997</v>
      </c>
      <c r="Z31" s="39">
        <v>4.7755102040999997</v>
      </c>
      <c r="AA31" s="39">
        <v>4.7755102040999997</v>
      </c>
      <c r="AB31" s="39">
        <v>970.17600000000004</v>
      </c>
      <c r="AC31" s="39"/>
      <c r="AD31" s="39">
        <v>970.17600000000004</v>
      </c>
      <c r="AE31" s="39">
        <v>970.17600000000004</v>
      </c>
      <c r="AF31" s="39">
        <v>970.17600000000004</v>
      </c>
      <c r="AG31" s="39">
        <v>970.17600000000004</v>
      </c>
    </row>
    <row r="32" spans="1:33" s="16" customFormat="1">
      <c r="A32" s="17" t="s">
        <v>111</v>
      </c>
      <c r="B32" s="17" t="s">
        <v>62</v>
      </c>
      <c r="C32" s="17">
        <v>1</v>
      </c>
      <c r="D32" s="17">
        <v>2</v>
      </c>
      <c r="E32" s="30">
        <v>8</v>
      </c>
      <c r="F32" s="32">
        <v>4</v>
      </c>
      <c r="G32" s="17" t="s">
        <v>81</v>
      </c>
      <c r="H32" s="17">
        <v>2</v>
      </c>
      <c r="I32" s="17">
        <v>0</v>
      </c>
      <c r="J32" s="39">
        <v>4.5114726742000002</v>
      </c>
      <c r="K32" s="39">
        <v>0.66315229209531601</v>
      </c>
      <c r="L32" s="39">
        <v>4.0425531914999997</v>
      </c>
      <c r="M32" s="39">
        <v>4.0425531914999997</v>
      </c>
      <c r="N32" s="39">
        <v>4.9803921568999998</v>
      </c>
      <c r="O32" s="39">
        <v>4.9803921568999998</v>
      </c>
      <c r="P32" s="39">
        <v>964.2684999999999</v>
      </c>
      <c r="Q32" s="39">
        <v>20.054255421231669</v>
      </c>
      <c r="R32" s="39">
        <v>978.44899999999996</v>
      </c>
      <c r="S32" s="39">
        <v>978.44899999999996</v>
      </c>
      <c r="T32" s="39">
        <v>950.08799999999997</v>
      </c>
      <c r="U32" s="39">
        <v>950.08799999999997</v>
      </c>
      <c r="V32" s="39">
        <v>4.5114726742000002</v>
      </c>
      <c r="W32" s="39">
        <v>0.66315229209531601</v>
      </c>
      <c r="X32" s="39">
        <v>4.0425531914999997</v>
      </c>
      <c r="Y32" s="39">
        <v>4.0425531914999997</v>
      </c>
      <c r="Z32" s="39">
        <v>4.9803921568999998</v>
      </c>
      <c r="AA32" s="39">
        <v>4.9803921568999998</v>
      </c>
      <c r="AB32" s="39">
        <v>964.2684999999999</v>
      </c>
      <c r="AC32" s="39">
        <v>20.054255421231669</v>
      </c>
      <c r="AD32" s="39">
        <v>978.44899999999996</v>
      </c>
      <c r="AE32" s="39">
        <v>978.44899999999996</v>
      </c>
      <c r="AF32" s="39">
        <v>950.08799999999997</v>
      </c>
      <c r="AG32" s="39">
        <v>950.08799999999997</v>
      </c>
    </row>
    <row r="33" spans="1:33">
      <c r="A33" s="90" t="s">
        <v>51</v>
      </c>
      <c r="B33" s="17" t="s">
        <v>54</v>
      </c>
      <c r="C33" s="17">
        <v>1</v>
      </c>
      <c r="D33" s="17">
        <v>1</v>
      </c>
      <c r="E33" s="30">
        <v>10</v>
      </c>
      <c r="F33" s="32">
        <v>10</v>
      </c>
      <c r="G33" s="17" t="s">
        <v>81</v>
      </c>
      <c r="H33" s="17">
        <v>1</v>
      </c>
      <c r="I33" s="17">
        <v>0</v>
      </c>
      <c r="J33" s="39">
        <v>3.9761904762000002</v>
      </c>
      <c r="K33" s="39"/>
      <c r="L33" s="39">
        <v>3.9761904762000002</v>
      </c>
      <c r="M33" s="39">
        <v>3.9761904762000002</v>
      </c>
      <c r="N33" s="39">
        <v>3.9761904762000002</v>
      </c>
      <c r="O33" s="39">
        <v>3.9761904762000002</v>
      </c>
      <c r="P33" s="39">
        <v>995.59100000000001</v>
      </c>
      <c r="Q33" s="39"/>
      <c r="R33" s="39">
        <v>995.59100000000001</v>
      </c>
      <c r="S33" s="39">
        <v>995.59100000000001</v>
      </c>
      <c r="T33" s="39">
        <v>995.59100000000001</v>
      </c>
      <c r="U33" s="39">
        <v>995.59100000000001</v>
      </c>
      <c r="V33" s="39">
        <v>3.9761904762000002</v>
      </c>
      <c r="W33" s="39"/>
      <c r="X33" s="39">
        <v>3.9761904762000002</v>
      </c>
      <c r="Y33" s="39">
        <v>3.9761904762000002</v>
      </c>
      <c r="Z33" s="39">
        <v>3.9761904762000002</v>
      </c>
      <c r="AA33" s="39">
        <v>3.9761904762000002</v>
      </c>
      <c r="AB33" s="39">
        <v>995.59100000000001</v>
      </c>
      <c r="AC33" s="39"/>
      <c r="AD33" s="39">
        <v>995.59100000000001</v>
      </c>
      <c r="AE33" s="39">
        <v>995.59100000000001</v>
      </c>
      <c r="AF33" s="39">
        <v>995.59100000000001</v>
      </c>
      <c r="AG33" s="39">
        <v>995.59100000000001</v>
      </c>
    </row>
    <row r="34" spans="1:33">
      <c r="A34" s="92"/>
      <c r="B34" s="17" t="s">
        <v>55</v>
      </c>
      <c r="C34" s="17">
        <v>1</v>
      </c>
      <c r="D34" s="17">
        <v>1</v>
      </c>
      <c r="E34" s="30">
        <v>4</v>
      </c>
      <c r="F34" s="32">
        <v>4</v>
      </c>
      <c r="G34" s="17" t="s">
        <v>81</v>
      </c>
      <c r="H34" s="17">
        <v>1</v>
      </c>
      <c r="I34" s="17">
        <v>0</v>
      </c>
      <c r="J34" s="39">
        <v>5.6</v>
      </c>
      <c r="K34" s="39"/>
      <c r="L34" s="39">
        <v>5.6</v>
      </c>
      <c r="M34" s="39">
        <v>5.6</v>
      </c>
      <c r="N34" s="39">
        <v>5.6</v>
      </c>
      <c r="O34" s="39">
        <v>5.6</v>
      </c>
      <c r="P34" s="39">
        <v>953.73400000000004</v>
      </c>
      <c r="Q34" s="39"/>
      <c r="R34" s="39">
        <v>953.73400000000004</v>
      </c>
      <c r="S34" s="39">
        <v>953.73400000000004</v>
      </c>
      <c r="T34" s="39">
        <v>953.73400000000004</v>
      </c>
      <c r="U34" s="39">
        <v>953.73400000000004</v>
      </c>
      <c r="V34" s="39">
        <v>5.6</v>
      </c>
      <c r="W34" s="39"/>
      <c r="X34" s="39">
        <v>5.6</v>
      </c>
      <c r="Y34" s="39">
        <v>5.6</v>
      </c>
      <c r="Z34" s="39">
        <v>5.6</v>
      </c>
      <c r="AA34" s="39">
        <v>5.6</v>
      </c>
      <c r="AB34" s="39">
        <v>953.73400000000004</v>
      </c>
      <c r="AC34" s="39"/>
      <c r="AD34" s="39">
        <v>953.73400000000004</v>
      </c>
      <c r="AE34" s="39">
        <v>953.73400000000004</v>
      </c>
      <c r="AF34" s="39">
        <v>953.73400000000004</v>
      </c>
      <c r="AG34" s="39">
        <v>953.73400000000004</v>
      </c>
    </row>
    <row r="35" spans="1:33">
      <c r="A35" s="2" t="s">
        <v>57</v>
      </c>
      <c r="B35" s="17" t="s">
        <v>58</v>
      </c>
      <c r="C35" s="90">
        <v>7</v>
      </c>
      <c r="D35" s="90">
        <v>7</v>
      </c>
      <c r="E35" s="30">
        <v>10</v>
      </c>
      <c r="F35" s="111">
        <f>45/7</f>
        <v>6.4285714285714288</v>
      </c>
      <c r="G35" s="17" t="s">
        <v>81</v>
      </c>
      <c r="H35" s="17">
        <v>2</v>
      </c>
      <c r="I35" s="90">
        <v>7</v>
      </c>
      <c r="J35" s="39">
        <v>3.5777777778000002</v>
      </c>
      <c r="K35" s="39">
        <v>0</v>
      </c>
      <c r="L35" s="39">
        <v>3.5777777778000002</v>
      </c>
      <c r="M35" s="39">
        <v>3.5777777778000002</v>
      </c>
      <c r="N35" s="39">
        <v>3.5777777778000002</v>
      </c>
      <c r="O35" s="39">
        <v>3.5777777778000002</v>
      </c>
      <c r="P35" s="39">
        <v>992.25</v>
      </c>
      <c r="Q35" s="39">
        <v>7.1686485476691626</v>
      </c>
      <c r="R35" s="39">
        <v>997.31899999999996</v>
      </c>
      <c r="S35" s="39">
        <v>997.31899999999996</v>
      </c>
      <c r="T35" s="39">
        <v>987.18100000000004</v>
      </c>
      <c r="U35" s="39">
        <v>987.18100000000004</v>
      </c>
      <c r="V35" s="39">
        <v>4.3</v>
      </c>
      <c r="W35" s="39">
        <v>1.021376461682475</v>
      </c>
      <c r="X35" s="39">
        <v>3.5777777778000002</v>
      </c>
      <c r="Y35" s="39">
        <v>3.5777777778000002</v>
      </c>
      <c r="Z35" s="39">
        <v>5.0222222221999999</v>
      </c>
      <c r="AA35" s="39">
        <v>5.0222222221999999</v>
      </c>
      <c r="AB35" s="39">
        <v>965.50549999999998</v>
      </c>
      <c r="AC35" s="39">
        <v>30.653786071218018</v>
      </c>
      <c r="AD35" s="39">
        <v>987.18100000000004</v>
      </c>
      <c r="AE35" s="39">
        <v>987.18100000000004</v>
      </c>
      <c r="AF35" s="39">
        <v>943.83</v>
      </c>
      <c r="AG35" s="39">
        <v>943.83</v>
      </c>
    </row>
    <row r="36" spans="1:33">
      <c r="A36" s="2"/>
      <c r="B36" s="17" t="s">
        <v>59</v>
      </c>
      <c r="C36" s="91"/>
      <c r="D36" s="91"/>
      <c r="E36" s="30">
        <v>5</v>
      </c>
      <c r="F36" s="112"/>
      <c r="G36" s="17" t="s">
        <v>81</v>
      </c>
      <c r="H36" s="17">
        <v>0</v>
      </c>
      <c r="I36" s="91"/>
      <c r="J36" s="39">
        <v>2.6666666666999999</v>
      </c>
      <c r="K36" s="39"/>
      <c r="L36" s="39">
        <v>2.6666666666999999</v>
      </c>
      <c r="M36" s="39">
        <v>2.6666666666999999</v>
      </c>
      <c r="N36" s="39">
        <v>2.6666666666999999</v>
      </c>
      <c r="O36" s="39">
        <v>2.6666666666999999</v>
      </c>
      <c r="P36" s="39">
        <v>1000.5</v>
      </c>
      <c r="Q36" s="39"/>
      <c r="R36" s="39">
        <v>1000.5</v>
      </c>
      <c r="S36" s="39">
        <v>1000.5</v>
      </c>
      <c r="T36" s="39">
        <v>1000.5</v>
      </c>
      <c r="U36" s="39">
        <v>1000.5</v>
      </c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</row>
    <row r="37" spans="1:33" s="4" customFormat="1">
      <c r="A37" s="5"/>
      <c r="B37" s="17" t="s">
        <v>88</v>
      </c>
      <c r="C37" s="91"/>
      <c r="D37" s="91"/>
      <c r="E37" s="30">
        <v>4</v>
      </c>
      <c r="F37" s="112"/>
      <c r="G37" s="17" t="s">
        <v>81</v>
      </c>
      <c r="H37" s="17">
        <v>0</v>
      </c>
      <c r="I37" s="91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</row>
    <row r="38" spans="1:33">
      <c r="A38" s="2"/>
      <c r="B38" s="17" t="s">
        <v>61</v>
      </c>
      <c r="C38" s="91"/>
      <c r="D38" s="91"/>
      <c r="E38" s="30">
        <v>4</v>
      </c>
      <c r="F38" s="112"/>
      <c r="G38" s="17" t="s">
        <v>81</v>
      </c>
      <c r="H38" s="17">
        <v>1</v>
      </c>
      <c r="I38" s="91"/>
      <c r="J38" s="39">
        <v>4.7948717948999997</v>
      </c>
      <c r="K38" s="39"/>
      <c r="L38" s="39">
        <v>4.7948717948999997</v>
      </c>
      <c r="M38" s="39">
        <v>4.7948717948999997</v>
      </c>
      <c r="N38" s="39">
        <v>4.7948717948999997</v>
      </c>
      <c r="O38" s="39">
        <v>4.7948717948999997</v>
      </c>
      <c r="P38" s="39">
        <v>973.24400000000003</v>
      </c>
      <c r="Q38" s="39"/>
      <c r="R38" s="39">
        <v>973.24400000000003</v>
      </c>
      <c r="S38" s="39">
        <v>973.24400000000003</v>
      </c>
      <c r="T38" s="39">
        <v>973.24400000000003</v>
      </c>
      <c r="U38" s="39">
        <v>973.24400000000003</v>
      </c>
      <c r="V38" s="39">
        <v>4.8499999999999996</v>
      </c>
      <c r="W38" s="39"/>
      <c r="X38" s="39">
        <v>4.8499999999999996</v>
      </c>
      <c r="Y38" s="39">
        <v>4.8499999999999996</v>
      </c>
      <c r="Z38" s="39">
        <v>4.8499999999999996</v>
      </c>
      <c r="AA38" s="39">
        <v>4.8499999999999996</v>
      </c>
      <c r="AB38" s="39">
        <v>948.5</v>
      </c>
      <c r="AC38" s="39"/>
      <c r="AD38" s="39">
        <v>948.5</v>
      </c>
      <c r="AE38" s="39">
        <v>948.5</v>
      </c>
      <c r="AF38" s="39">
        <v>948.5</v>
      </c>
      <c r="AG38" s="39">
        <v>948.5</v>
      </c>
    </row>
    <row r="39" spans="1:33">
      <c r="A39" s="2" t="s">
        <v>63</v>
      </c>
      <c r="B39" s="17" t="s">
        <v>64</v>
      </c>
      <c r="C39" s="91"/>
      <c r="D39" s="91"/>
      <c r="E39" s="30">
        <v>11</v>
      </c>
      <c r="F39" s="112"/>
      <c r="G39" s="17" t="s">
        <v>81</v>
      </c>
      <c r="H39" s="17">
        <v>4</v>
      </c>
      <c r="I39" s="91"/>
      <c r="J39" s="39">
        <v>3.800827423166667</v>
      </c>
      <c r="K39" s="39">
        <v>0.83858750544567218</v>
      </c>
      <c r="L39" s="39">
        <v>2.8333333333000001</v>
      </c>
      <c r="M39" s="39">
        <v>4.25</v>
      </c>
      <c r="N39" s="39">
        <v>4.3191489362000004</v>
      </c>
      <c r="O39" s="39">
        <v>4.3191489362000004</v>
      </c>
      <c r="P39" s="39">
        <v>987.24300000000005</v>
      </c>
      <c r="Q39" s="39">
        <v>10.900024632999671</v>
      </c>
      <c r="R39" s="39">
        <v>998.5</v>
      </c>
      <c r="S39" s="39">
        <v>986.49</v>
      </c>
      <c r="T39" s="39">
        <v>976.73900000000003</v>
      </c>
      <c r="U39" s="39">
        <v>976.73900000000003</v>
      </c>
      <c r="V39" s="39">
        <v>4.5305706521750002</v>
      </c>
      <c r="W39" s="39">
        <v>1.148867465903203</v>
      </c>
      <c r="X39" s="39">
        <v>2.8333333333000001</v>
      </c>
      <c r="Y39" s="39">
        <v>4.8695652173999999</v>
      </c>
      <c r="Z39" s="39">
        <v>5.0652173913</v>
      </c>
      <c r="AA39" s="39">
        <v>5.3541666667000003</v>
      </c>
      <c r="AB39" s="39">
        <v>960.80624999999998</v>
      </c>
      <c r="AC39" s="39">
        <v>26.060029858962171</v>
      </c>
      <c r="AD39" s="39">
        <v>998.5</v>
      </c>
      <c r="AE39" s="39">
        <v>958</v>
      </c>
      <c r="AF39" s="39">
        <v>943.6</v>
      </c>
      <c r="AG39" s="39">
        <v>943.125</v>
      </c>
    </row>
    <row r="40" spans="1:33" s="4" customFormat="1">
      <c r="A40" s="5" t="s">
        <v>89</v>
      </c>
      <c r="B40" s="17" t="s">
        <v>90</v>
      </c>
      <c r="C40" s="92"/>
      <c r="D40" s="92"/>
      <c r="E40" s="30">
        <v>11</v>
      </c>
      <c r="F40" s="113"/>
      <c r="G40" s="17" t="s">
        <v>81</v>
      </c>
      <c r="H40" s="17">
        <v>0</v>
      </c>
      <c r="I40" s="92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</row>
    <row r="41" spans="1:33">
      <c r="A41" s="2" t="s">
        <v>112</v>
      </c>
      <c r="B41" s="17" t="s">
        <v>62</v>
      </c>
      <c r="C41" s="17">
        <v>1</v>
      </c>
      <c r="D41" s="17">
        <v>2</v>
      </c>
      <c r="E41" s="30">
        <v>8</v>
      </c>
      <c r="F41" s="32">
        <v>4</v>
      </c>
      <c r="G41" s="17" t="s">
        <v>81</v>
      </c>
      <c r="H41" s="17">
        <v>2</v>
      </c>
      <c r="I41" s="17">
        <v>0</v>
      </c>
      <c r="J41" s="39">
        <v>4.5114726742000002</v>
      </c>
      <c r="K41" s="39">
        <v>0.66315229209531601</v>
      </c>
      <c r="L41" s="39">
        <v>4.0425531914999997</v>
      </c>
      <c r="M41" s="39">
        <v>4.0425531914999997</v>
      </c>
      <c r="N41" s="39">
        <v>4.9803921568999998</v>
      </c>
      <c r="O41" s="39">
        <v>4.9803921568999998</v>
      </c>
      <c r="P41" s="39">
        <v>964.2684999999999</v>
      </c>
      <c r="Q41" s="39">
        <v>20.054255421231669</v>
      </c>
      <c r="R41" s="39">
        <v>978.44899999999996</v>
      </c>
      <c r="S41" s="39">
        <v>978.44899999999996</v>
      </c>
      <c r="T41" s="39">
        <v>950.08799999999997</v>
      </c>
      <c r="U41" s="39">
        <v>950.08799999999997</v>
      </c>
      <c r="V41" s="39">
        <v>4.5114726742000002</v>
      </c>
      <c r="W41" s="39">
        <v>0.66315229209531601</v>
      </c>
      <c r="X41" s="39">
        <v>4.0425531914999997</v>
      </c>
      <c r="Y41" s="39">
        <v>4.0425531914999997</v>
      </c>
      <c r="Z41" s="39">
        <v>4.9803921568999998</v>
      </c>
      <c r="AA41" s="39">
        <v>4.9803921568999998</v>
      </c>
      <c r="AB41" s="39">
        <v>964.2684999999999</v>
      </c>
      <c r="AC41" s="39">
        <v>20.054255421231669</v>
      </c>
      <c r="AD41" s="39">
        <v>978.44899999999996</v>
      </c>
      <c r="AE41" s="39">
        <v>978.44899999999996</v>
      </c>
      <c r="AF41" s="39">
        <v>950.08799999999997</v>
      </c>
      <c r="AG41" s="39">
        <v>950.08799999999997</v>
      </c>
    </row>
  </sheetData>
  <mergeCells count="46">
    <mergeCell ref="A33:A34"/>
    <mergeCell ref="C35:C40"/>
    <mergeCell ref="V2:AA2"/>
    <mergeCell ref="D35:D40"/>
    <mergeCell ref="F35:F40"/>
    <mergeCell ref="I18:I22"/>
    <mergeCell ref="I23:I27"/>
    <mergeCell ref="I28:I30"/>
    <mergeCell ref="I35:I40"/>
    <mergeCell ref="D18:D22"/>
    <mergeCell ref="F18:F22"/>
    <mergeCell ref="A23:A27"/>
    <mergeCell ref="D23:D27"/>
    <mergeCell ref="F23:F27"/>
    <mergeCell ref="D28:D30"/>
    <mergeCell ref="F28:F30"/>
    <mergeCell ref="C23:C27"/>
    <mergeCell ref="A28:A30"/>
    <mergeCell ref="C28:C30"/>
    <mergeCell ref="A9:A17"/>
    <mergeCell ref="D9:D17"/>
    <mergeCell ref="F9:F17"/>
    <mergeCell ref="I9:I17"/>
    <mergeCell ref="A18:A22"/>
    <mergeCell ref="C9:C17"/>
    <mergeCell ref="C18:C22"/>
    <mergeCell ref="AB2:AG2"/>
    <mergeCell ref="J1:U1"/>
    <mergeCell ref="V1:AG1"/>
    <mergeCell ref="P2:U2"/>
    <mergeCell ref="D4:D8"/>
    <mergeCell ref="F4:F8"/>
    <mergeCell ref="I4:I8"/>
    <mergeCell ref="J2:O2"/>
    <mergeCell ref="A4:A8"/>
    <mergeCell ref="C1:C3"/>
    <mergeCell ref="D1:I1"/>
    <mergeCell ref="D2:D3"/>
    <mergeCell ref="E2:E3"/>
    <mergeCell ref="F2:F3"/>
    <mergeCell ref="G2:G3"/>
    <mergeCell ref="H2:H3"/>
    <mergeCell ref="I2:I3"/>
    <mergeCell ref="A1:A3"/>
    <mergeCell ref="B1:B3"/>
    <mergeCell ref="C4:C8"/>
  </mergeCells>
  <phoneticPr fontId="7" type="noConversion"/>
  <conditionalFormatting sqref="G4:G41">
    <cfRule type="containsBlanks" dxfId="3" priority="1">
      <formula>LEN(TRIM(G4))=0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G19"/>
  <sheetViews>
    <sheetView zoomScale="85" zoomScaleNormal="85" workbookViewId="0">
      <pane xSplit="2" ySplit="3" topLeftCell="C4" activePane="bottomRight" state="frozen"/>
      <selection pane="topRight"/>
      <selection pane="bottomLeft"/>
      <selection pane="bottomRight" activeCell="Z26" sqref="Z26"/>
    </sheetView>
  </sheetViews>
  <sheetFormatPr defaultRowHeight="16.5"/>
  <cols>
    <col min="1" max="1" width="17.375" customWidth="1"/>
    <col min="2" max="2" width="33.625" style="6" customWidth="1"/>
    <col min="3" max="3" width="10.75" style="6" customWidth="1"/>
    <col min="4" max="7" width="9.125" style="6" customWidth="1"/>
    <col min="8" max="9" width="10.5" style="6" customWidth="1"/>
    <col min="10" max="33" width="11" customWidth="1"/>
  </cols>
  <sheetData>
    <row r="1" spans="1:33">
      <c r="A1" s="72" t="s">
        <v>2</v>
      </c>
      <c r="B1" s="108" t="s">
        <v>3</v>
      </c>
      <c r="C1" s="86" t="s">
        <v>79</v>
      </c>
      <c r="D1" s="71" t="s">
        <v>78</v>
      </c>
      <c r="E1" s="71"/>
      <c r="F1" s="71"/>
      <c r="G1" s="71"/>
      <c r="H1" s="71"/>
      <c r="I1" s="71"/>
      <c r="J1" s="75" t="s">
        <v>113</v>
      </c>
      <c r="K1" s="76"/>
      <c r="L1" s="76"/>
      <c r="M1" s="76"/>
      <c r="N1" s="76"/>
      <c r="O1" s="76"/>
      <c r="P1" s="76"/>
      <c r="Q1" s="76"/>
      <c r="R1" s="76"/>
      <c r="S1" s="76"/>
      <c r="T1" s="76"/>
      <c r="U1" s="77"/>
      <c r="V1" s="75" t="s">
        <v>116</v>
      </c>
      <c r="W1" s="76"/>
      <c r="X1" s="76"/>
      <c r="Y1" s="76"/>
      <c r="Z1" s="76"/>
      <c r="AA1" s="76"/>
      <c r="AB1" s="76"/>
      <c r="AC1" s="76"/>
      <c r="AD1" s="76"/>
      <c r="AE1" s="76"/>
      <c r="AF1" s="76"/>
      <c r="AG1" s="77"/>
    </row>
    <row r="2" spans="1:33" ht="21.95" customHeight="1">
      <c r="A2" s="73"/>
      <c r="B2" s="108"/>
      <c r="C2" s="86"/>
      <c r="D2" s="71" t="s">
        <v>70</v>
      </c>
      <c r="E2" s="71" t="s">
        <v>71</v>
      </c>
      <c r="F2" s="71" t="s">
        <v>72</v>
      </c>
      <c r="G2" s="86" t="s">
        <v>73</v>
      </c>
      <c r="H2" s="86" t="s">
        <v>74</v>
      </c>
      <c r="I2" s="86" t="s">
        <v>75</v>
      </c>
      <c r="J2" s="87" t="s">
        <v>4</v>
      </c>
      <c r="K2" s="88"/>
      <c r="L2" s="88"/>
      <c r="M2" s="88"/>
      <c r="N2" s="88"/>
      <c r="O2" s="89"/>
      <c r="P2" s="75" t="s">
        <v>122</v>
      </c>
      <c r="Q2" s="76"/>
      <c r="R2" s="76"/>
      <c r="S2" s="76"/>
      <c r="T2" s="76"/>
      <c r="U2" s="77"/>
      <c r="V2" s="87" t="s">
        <v>4</v>
      </c>
      <c r="W2" s="88"/>
      <c r="X2" s="88"/>
      <c r="Y2" s="88"/>
      <c r="Z2" s="88"/>
      <c r="AA2" s="89"/>
      <c r="AB2" s="75" t="s">
        <v>122</v>
      </c>
      <c r="AC2" s="76"/>
      <c r="AD2" s="76"/>
      <c r="AE2" s="76"/>
      <c r="AF2" s="76"/>
      <c r="AG2" s="77"/>
    </row>
    <row r="3" spans="1:33" ht="21.95" customHeight="1">
      <c r="A3" s="74"/>
      <c r="B3" s="109"/>
      <c r="C3" s="86"/>
      <c r="D3" s="71"/>
      <c r="E3" s="71"/>
      <c r="F3" s="71"/>
      <c r="G3" s="86"/>
      <c r="H3" s="86"/>
      <c r="I3" s="86"/>
      <c r="J3" s="1" t="s">
        <v>6</v>
      </c>
      <c r="K3" s="1" t="s">
        <v>7</v>
      </c>
      <c r="L3" s="1" t="s">
        <v>10</v>
      </c>
      <c r="M3" s="1" t="s">
        <v>8</v>
      </c>
      <c r="N3" s="1" t="s">
        <v>9</v>
      </c>
      <c r="O3" s="1" t="s">
        <v>11</v>
      </c>
      <c r="P3" s="1" t="s">
        <v>6</v>
      </c>
      <c r="Q3" s="1" t="s">
        <v>7</v>
      </c>
      <c r="R3" s="1" t="s">
        <v>12</v>
      </c>
      <c r="S3" s="1" t="s">
        <v>8</v>
      </c>
      <c r="T3" s="1" t="s">
        <v>9</v>
      </c>
      <c r="U3" s="1" t="s">
        <v>13</v>
      </c>
      <c r="V3" s="1" t="s">
        <v>6</v>
      </c>
      <c r="W3" s="1" t="s">
        <v>7</v>
      </c>
      <c r="X3" s="1" t="s">
        <v>10</v>
      </c>
      <c r="Y3" s="1" t="s">
        <v>8</v>
      </c>
      <c r="Z3" s="1" t="s">
        <v>9</v>
      </c>
      <c r="AA3" s="1" t="s">
        <v>11</v>
      </c>
      <c r="AB3" s="1" t="s">
        <v>6</v>
      </c>
      <c r="AC3" s="1" t="s">
        <v>7</v>
      </c>
      <c r="AD3" s="1" t="s">
        <v>12</v>
      </c>
      <c r="AE3" s="1" t="s">
        <v>8</v>
      </c>
      <c r="AF3" s="1" t="s">
        <v>9</v>
      </c>
      <c r="AG3" s="1" t="s">
        <v>13</v>
      </c>
    </row>
    <row r="4" spans="1:33">
      <c r="A4" s="90" t="s">
        <v>22</v>
      </c>
      <c r="B4" s="17" t="s">
        <v>23</v>
      </c>
      <c r="C4" s="71">
        <v>4</v>
      </c>
      <c r="D4" s="90">
        <v>4</v>
      </c>
      <c r="E4" s="17">
        <v>7</v>
      </c>
      <c r="F4" s="71">
        <f>15/4</f>
        <v>3.75</v>
      </c>
      <c r="G4" s="30" t="s">
        <v>81</v>
      </c>
      <c r="H4" s="17">
        <v>1</v>
      </c>
      <c r="I4" s="90">
        <v>8</v>
      </c>
      <c r="J4" s="39">
        <v>2.1714285713999999</v>
      </c>
      <c r="K4" s="39">
        <v>0.51181062256638576</v>
      </c>
      <c r="L4" s="39">
        <v>1.8095238094999999</v>
      </c>
      <c r="M4" s="39">
        <v>1.8095238094999999</v>
      </c>
      <c r="N4" s="39">
        <v>2.5333333332999999</v>
      </c>
      <c r="O4" s="39">
        <v>2.5333333332999999</v>
      </c>
      <c r="P4" s="39">
        <v>953.09899999999993</v>
      </c>
      <c r="Q4" s="39">
        <v>9.2206724266726336</v>
      </c>
      <c r="R4" s="39">
        <v>959.61900000000003</v>
      </c>
      <c r="S4" s="39">
        <v>959.61900000000003</v>
      </c>
      <c r="T4" s="39">
        <v>946.57899999999995</v>
      </c>
      <c r="U4" s="39">
        <v>946.57899999999995</v>
      </c>
      <c r="V4" s="39">
        <v>4.9565217391000003</v>
      </c>
      <c r="W4" s="39"/>
      <c r="X4" s="39">
        <v>4.9565217391000003</v>
      </c>
      <c r="Y4" s="39">
        <v>4.9565217391000003</v>
      </c>
      <c r="Z4" s="39">
        <v>4.9565217391000003</v>
      </c>
      <c r="AA4" s="39">
        <v>4.9565217391000003</v>
      </c>
      <c r="AB4" s="39">
        <v>866.54499999999996</v>
      </c>
      <c r="AC4" s="39"/>
      <c r="AD4" s="39">
        <v>866.54499999999996</v>
      </c>
      <c r="AE4" s="39">
        <v>866.54499999999996</v>
      </c>
      <c r="AF4" s="39">
        <v>866.54499999999996</v>
      </c>
      <c r="AG4" s="39">
        <v>866.54499999999996</v>
      </c>
    </row>
    <row r="5" spans="1:33">
      <c r="A5" s="91"/>
      <c r="B5" s="17" t="s">
        <v>24</v>
      </c>
      <c r="C5" s="71"/>
      <c r="D5" s="91"/>
      <c r="E5" s="34">
        <v>2</v>
      </c>
      <c r="F5" s="71"/>
      <c r="G5" s="17" t="s">
        <v>81</v>
      </c>
      <c r="H5" s="17">
        <v>1</v>
      </c>
      <c r="I5" s="91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>
        <v>4.5</v>
      </c>
      <c r="W5" s="39"/>
      <c r="X5" s="39">
        <v>4.5</v>
      </c>
      <c r="Y5" s="39">
        <v>4.5</v>
      </c>
      <c r="Z5" s="39">
        <v>4.5</v>
      </c>
      <c r="AA5" s="39">
        <v>4.5</v>
      </c>
      <c r="AB5" s="39">
        <v>877.279</v>
      </c>
      <c r="AC5" s="39"/>
      <c r="AD5" s="39">
        <v>877.279</v>
      </c>
      <c r="AE5" s="39">
        <v>877.279</v>
      </c>
      <c r="AF5" s="39">
        <v>877.279</v>
      </c>
      <c r="AG5" s="39">
        <v>877.279</v>
      </c>
    </row>
    <row r="6" spans="1:33" s="16" customFormat="1">
      <c r="A6" s="91"/>
      <c r="B6" s="30" t="s">
        <v>130</v>
      </c>
      <c r="C6" s="71"/>
      <c r="D6" s="91"/>
      <c r="E6" s="34">
        <v>1</v>
      </c>
      <c r="F6" s="71"/>
      <c r="G6" s="30" t="s">
        <v>81</v>
      </c>
      <c r="H6" s="30"/>
      <c r="I6" s="91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</row>
    <row r="7" spans="1:33">
      <c r="A7" s="91"/>
      <c r="B7" s="17" t="s">
        <v>26</v>
      </c>
      <c r="C7" s="71"/>
      <c r="D7" s="91"/>
      <c r="E7" s="34">
        <v>1</v>
      </c>
      <c r="F7" s="71"/>
      <c r="G7" s="30" t="s">
        <v>81</v>
      </c>
      <c r="H7" s="17">
        <v>1</v>
      </c>
      <c r="I7" s="91"/>
      <c r="J7" s="39">
        <v>4.6896551724000002</v>
      </c>
      <c r="K7" s="39"/>
      <c r="L7" s="39">
        <v>4.6896551724000002</v>
      </c>
      <c r="M7" s="39">
        <v>4.6896551724000002</v>
      </c>
      <c r="N7" s="39">
        <v>4.6896551724000002</v>
      </c>
      <c r="O7" s="39">
        <v>4.6896551724000002</v>
      </c>
      <c r="P7" s="39">
        <v>907.69200000000001</v>
      </c>
      <c r="Q7" s="39"/>
      <c r="R7" s="39">
        <v>907.69200000000001</v>
      </c>
      <c r="S7" s="39">
        <v>907.69200000000001</v>
      </c>
      <c r="T7" s="39">
        <v>907.69200000000001</v>
      </c>
      <c r="U7" s="39">
        <v>907.69200000000001</v>
      </c>
      <c r="V7" s="39">
        <v>4.6896551724000002</v>
      </c>
      <c r="W7" s="39"/>
      <c r="X7" s="39">
        <v>4.6896551724000002</v>
      </c>
      <c r="Y7" s="39">
        <v>4.6896551724000002</v>
      </c>
      <c r="Z7" s="39">
        <v>4.6896551724000002</v>
      </c>
      <c r="AA7" s="39">
        <v>4.6896551724000002</v>
      </c>
      <c r="AB7" s="39">
        <v>907.69200000000001</v>
      </c>
      <c r="AC7" s="39"/>
      <c r="AD7" s="39">
        <v>907.69200000000001</v>
      </c>
      <c r="AE7" s="39">
        <v>907.69200000000001</v>
      </c>
      <c r="AF7" s="39">
        <v>907.69200000000001</v>
      </c>
      <c r="AG7" s="39">
        <v>907.69200000000001</v>
      </c>
    </row>
    <row r="8" spans="1:33">
      <c r="A8" s="91"/>
      <c r="B8" s="17" t="s">
        <v>27</v>
      </c>
      <c r="C8" s="71"/>
      <c r="D8" s="91"/>
      <c r="E8" s="34">
        <v>3</v>
      </c>
      <c r="F8" s="71"/>
      <c r="G8" s="30" t="s">
        <v>81</v>
      </c>
      <c r="H8" s="17">
        <v>0</v>
      </c>
      <c r="I8" s="91"/>
      <c r="J8" s="39">
        <v>3.0714285713999998</v>
      </c>
      <c r="K8" s="39"/>
      <c r="L8" s="39">
        <v>3.0714285713999998</v>
      </c>
      <c r="M8" s="39">
        <v>3.0714285713999998</v>
      </c>
      <c r="N8" s="39">
        <v>3.0714285713999998</v>
      </c>
      <c r="O8" s="39">
        <v>3.0714285713999998</v>
      </c>
      <c r="P8" s="39">
        <v>921.38900000000001</v>
      </c>
      <c r="Q8" s="39"/>
      <c r="R8" s="39">
        <v>921.38900000000001</v>
      </c>
      <c r="S8" s="39">
        <v>921.38900000000001</v>
      </c>
      <c r="T8" s="39">
        <v>921.38900000000001</v>
      </c>
      <c r="U8" s="39">
        <v>921.38900000000001</v>
      </c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</row>
    <row r="9" spans="1:33">
      <c r="A9" s="92"/>
      <c r="B9" s="17" t="s">
        <v>28</v>
      </c>
      <c r="C9" s="71"/>
      <c r="D9" s="92"/>
      <c r="E9" s="34">
        <v>1</v>
      </c>
      <c r="F9" s="71"/>
      <c r="G9" s="30" t="s">
        <v>81</v>
      </c>
      <c r="H9" s="17">
        <v>1</v>
      </c>
      <c r="I9" s="92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>
        <v>7.6521739130000004</v>
      </c>
      <c r="W9" s="39"/>
      <c r="X9" s="39">
        <v>7.6521739130000004</v>
      </c>
      <c r="Y9" s="39">
        <v>7.6521739130000004</v>
      </c>
      <c r="Z9" s="39">
        <v>7.6521739130000004</v>
      </c>
      <c r="AA9" s="39">
        <v>7.6521739130000004</v>
      </c>
      <c r="AB9" s="39">
        <v>726.94500000000005</v>
      </c>
      <c r="AC9" s="39"/>
      <c r="AD9" s="39">
        <v>726.94500000000005</v>
      </c>
      <c r="AE9" s="39">
        <v>726.94500000000005</v>
      </c>
      <c r="AF9" s="39">
        <v>726.94500000000005</v>
      </c>
      <c r="AG9" s="39">
        <v>726.94500000000005</v>
      </c>
    </row>
    <row r="10" spans="1:33">
      <c r="A10" s="90" t="s">
        <v>37</v>
      </c>
      <c r="B10" s="17" t="s">
        <v>38</v>
      </c>
      <c r="C10" s="17">
        <v>1</v>
      </c>
      <c r="D10" s="17">
        <v>1</v>
      </c>
      <c r="E10" s="34">
        <v>4</v>
      </c>
      <c r="F10" s="32">
        <v>4</v>
      </c>
      <c r="G10" s="30" t="s">
        <v>81</v>
      </c>
      <c r="H10" s="17">
        <v>1</v>
      </c>
      <c r="I10" s="17">
        <v>2</v>
      </c>
      <c r="J10" s="39">
        <v>2.8444444444000001</v>
      </c>
      <c r="K10" s="39"/>
      <c r="L10" s="39">
        <v>2.8444444444000001</v>
      </c>
      <c r="M10" s="39">
        <v>2.8444444444000001</v>
      </c>
      <c r="N10" s="39">
        <v>2.8444444444000001</v>
      </c>
      <c r="O10" s="39">
        <v>2.8444444444000001</v>
      </c>
      <c r="P10" s="39">
        <v>921.53800000000001</v>
      </c>
      <c r="Q10" s="39"/>
      <c r="R10" s="39">
        <v>921.53800000000001</v>
      </c>
      <c r="S10" s="39">
        <v>921.53800000000001</v>
      </c>
      <c r="T10" s="39">
        <v>921.53800000000001</v>
      </c>
      <c r="U10" s="39">
        <v>921.53800000000001</v>
      </c>
      <c r="V10" s="39">
        <v>6.48</v>
      </c>
      <c r="W10" s="39"/>
      <c r="X10" s="39">
        <v>6.48</v>
      </c>
      <c r="Y10" s="39">
        <v>6.48</v>
      </c>
      <c r="Z10" s="39">
        <v>6.48</v>
      </c>
      <c r="AA10" s="39">
        <v>6.48</v>
      </c>
      <c r="AB10" s="39">
        <v>790.64200000000005</v>
      </c>
      <c r="AC10" s="39"/>
      <c r="AD10" s="39">
        <v>790.64200000000005</v>
      </c>
      <c r="AE10" s="39">
        <v>790.64200000000005</v>
      </c>
      <c r="AF10" s="39">
        <v>790.64200000000005</v>
      </c>
      <c r="AG10" s="39">
        <v>790.64200000000005</v>
      </c>
    </row>
    <row r="11" spans="1:33">
      <c r="A11" s="92"/>
      <c r="B11" s="17" t="s">
        <v>42</v>
      </c>
      <c r="C11" s="17">
        <v>2</v>
      </c>
      <c r="D11" s="17">
        <v>2</v>
      </c>
      <c r="E11" s="34">
        <v>14</v>
      </c>
      <c r="F11" s="32">
        <v>7</v>
      </c>
      <c r="G11" s="30" t="s">
        <v>81</v>
      </c>
      <c r="H11" s="17">
        <v>2</v>
      </c>
      <c r="I11" s="17">
        <v>6</v>
      </c>
      <c r="J11" s="39">
        <v>3.26315789475</v>
      </c>
      <c r="K11" s="39">
        <v>1.042052098572094</v>
      </c>
      <c r="L11" s="39">
        <v>2.5263157894999999</v>
      </c>
      <c r="M11" s="39">
        <v>2.5263157894999999</v>
      </c>
      <c r="N11" s="39">
        <v>4</v>
      </c>
      <c r="O11" s="39">
        <v>4</v>
      </c>
      <c r="P11" s="39">
        <v>940.14699999999993</v>
      </c>
      <c r="Q11" s="39">
        <v>1.7932227970890451</v>
      </c>
      <c r="R11" s="39">
        <v>941.41499999999996</v>
      </c>
      <c r="S11" s="39">
        <v>941.41499999999996</v>
      </c>
      <c r="T11" s="39">
        <v>938.87900000000002</v>
      </c>
      <c r="U11" s="39">
        <v>938.87900000000002</v>
      </c>
      <c r="V11" s="39">
        <v>4.3913043478499993</v>
      </c>
      <c r="W11" s="39">
        <v>0.55338791574502899</v>
      </c>
      <c r="X11" s="39">
        <v>4</v>
      </c>
      <c r="Y11" s="39">
        <v>4</v>
      </c>
      <c r="Z11" s="39">
        <v>4.7826086956999996</v>
      </c>
      <c r="AA11" s="39">
        <v>4.7826086956999996</v>
      </c>
      <c r="AB11" s="39">
        <v>904.73050000000001</v>
      </c>
      <c r="AC11" s="39">
        <v>51.879717428875743</v>
      </c>
      <c r="AD11" s="39">
        <v>941.41499999999996</v>
      </c>
      <c r="AE11" s="39">
        <v>941.41499999999996</v>
      </c>
      <c r="AF11" s="39">
        <v>868.04600000000005</v>
      </c>
      <c r="AG11" s="39">
        <v>868.04600000000005</v>
      </c>
    </row>
    <row r="12" spans="1:33" ht="33">
      <c r="A12" s="90" t="s">
        <v>44</v>
      </c>
      <c r="B12" s="22" t="s">
        <v>125</v>
      </c>
      <c r="C12" s="17">
        <v>2</v>
      </c>
      <c r="D12" s="17">
        <v>2</v>
      </c>
      <c r="E12" s="30">
        <v>8</v>
      </c>
      <c r="F12" s="32">
        <v>4</v>
      </c>
      <c r="G12" s="30" t="s">
        <v>81</v>
      </c>
      <c r="H12" s="17">
        <v>2</v>
      </c>
      <c r="I12" s="17">
        <v>0</v>
      </c>
      <c r="J12" s="39">
        <v>4.1212264150999998</v>
      </c>
      <c r="K12" s="39">
        <v>0.46495606271560252</v>
      </c>
      <c r="L12" s="39">
        <v>3.7924528301999998</v>
      </c>
      <c r="M12" s="39">
        <v>3.7924528301999998</v>
      </c>
      <c r="N12" s="39">
        <v>4.45</v>
      </c>
      <c r="O12" s="39">
        <v>4.45</v>
      </c>
      <c r="P12" s="39">
        <v>912.96050000000002</v>
      </c>
      <c r="Q12" s="39">
        <v>16.4678098270535</v>
      </c>
      <c r="R12" s="39">
        <v>924.60500000000002</v>
      </c>
      <c r="S12" s="39">
        <v>924.60500000000002</v>
      </c>
      <c r="T12" s="39">
        <v>901.31600000000003</v>
      </c>
      <c r="U12" s="39">
        <v>901.31600000000003</v>
      </c>
      <c r="V12" s="39">
        <v>4.1212264150999998</v>
      </c>
      <c r="W12" s="39">
        <v>0.46495606271560252</v>
      </c>
      <c r="X12" s="39">
        <v>3.7924528301999998</v>
      </c>
      <c r="Y12" s="39">
        <v>3.7924528301999998</v>
      </c>
      <c r="Z12" s="39">
        <v>4.45</v>
      </c>
      <c r="AA12" s="39">
        <v>4.45</v>
      </c>
      <c r="AB12" s="39">
        <v>912.96050000000002</v>
      </c>
      <c r="AC12" s="39">
        <v>16.4678098270535</v>
      </c>
      <c r="AD12" s="39">
        <v>924.60500000000002</v>
      </c>
      <c r="AE12" s="39">
        <v>924.60500000000002</v>
      </c>
      <c r="AF12" s="39">
        <v>901.31600000000003</v>
      </c>
      <c r="AG12" s="39">
        <v>901.31600000000003</v>
      </c>
    </row>
    <row r="13" spans="1:33" ht="33">
      <c r="A13" s="92"/>
      <c r="B13" s="22" t="s">
        <v>127</v>
      </c>
      <c r="C13" s="17">
        <v>2</v>
      </c>
      <c r="D13" s="17">
        <v>2</v>
      </c>
      <c r="E13" s="30">
        <v>9</v>
      </c>
      <c r="F13" s="32">
        <v>4.5</v>
      </c>
      <c r="G13" s="30" t="s">
        <v>81</v>
      </c>
      <c r="H13" s="17">
        <v>2</v>
      </c>
      <c r="I13" s="17">
        <v>4</v>
      </c>
      <c r="J13" s="39">
        <v>2.7416344916500002</v>
      </c>
      <c r="K13" s="39">
        <v>0.39905575742959393</v>
      </c>
      <c r="L13" s="39">
        <v>2.4594594595000001</v>
      </c>
      <c r="M13" s="39">
        <v>2.4594594595000001</v>
      </c>
      <c r="N13" s="39">
        <v>3.0238095237999998</v>
      </c>
      <c r="O13" s="39">
        <v>3.0238095237999998</v>
      </c>
      <c r="P13" s="39">
        <v>945.447</v>
      </c>
      <c r="Q13" s="39">
        <v>7.3143125445936841</v>
      </c>
      <c r="R13" s="39">
        <v>950.61900000000003</v>
      </c>
      <c r="S13" s="39">
        <v>950.61900000000003</v>
      </c>
      <c r="T13" s="39">
        <v>940.27499999999998</v>
      </c>
      <c r="U13" s="39">
        <v>940.27499999999998</v>
      </c>
      <c r="V13" s="39">
        <v>3.7462253194000001</v>
      </c>
      <c r="W13" s="39">
        <v>8.9517583177159077E-2</v>
      </c>
      <c r="X13" s="39">
        <v>3.6829268292999999</v>
      </c>
      <c r="Y13" s="39">
        <v>3.6829268292999999</v>
      </c>
      <c r="Z13" s="39">
        <v>3.8095238094999999</v>
      </c>
      <c r="AA13" s="39">
        <v>3.8095238094999999</v>
      </c>
      <c r="AB13" s="39">
        <v>916.41899999999998</v>
      </c>
      <c r="AC13" s="39">
        <v>6.3781031663026457</v>
      </c>
      <c r="AD13" s="39">
        <v>920.92899999999997</v>
      </c>
      <c r="AE13" s="39">
        <v>920.92899999999997</v>
      </c>
      <c r="AF13" s="39">
        <v>911.90899999999999</v>
      </c>
      <c r="AG13" s="39">
        <v>911.90899999999999</v>
      </c>
    </row>
    <row r="14" spans="1:33" s="16" customFormat="1">
      <c r="A14" s="90" t="s">
        <v>57</v>
      </c>
      <c r="B14" s="29" t="s">
        <v>129</v>
      </c>
      <c r="C14" s="90">
        <v>10</v>
      </c>
      <c r="D14" s="90">
        <v>10</v>
      </c>
      <c r="E14" s="30">
        <v>3</v>
      </c>
      <c r="F14" s="111">
        <v>4.2</v>
      </c>
      <c r="G14" s="30" t="s">
        <v>81</v>
      </c>
      <c r="H14" s="30"/>
      <c r="I14" s="90">
        <v>15</v>
      </c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</row>
    <row r="15" spans="1:33">
      <c r="A15" s="91"/>
      <c r="B15" s="17" t="s">
        <v>59</v>
      </c>
      <c r="C15" s="91"/>
      <c r="D15" s="91"/>
      <c r="E15" s="34">
        <v>18</v>
      </c>
      <c r="F15" s="112"/>
      <c r="G15" s="30" t="s">
        <v>81</v>
      </c>
      <c r="H15" s="17">
        <v>1</v>
      </c>
      <c r="I15" s="91"/>
      <c r="J15" s="39">
        <v>2.1603535353500001</v>
      </c>
      <c r="K15" s="39">
        <v>3.0355594121133679E-2</v>
      </c>
      <c r="L15" s="39">
        <v>2.1388888889</v>
      </c>
      <c r="M15" s="39">
        <v>2.1388888889</v>
      </c>
      <c r="N15" s="39">
        <v>2.1818181818000002</v>
      </c>
      <c r="O15" s="39">
        <v>2.1818181818000002</v>
      </c>
      <c r="P15" s="39">
        <v>952.59799999999996</v>
      </c>
      <c r="Q15" s="39">
        <v>11.35189226516882</v>
      </c>
      <c r="R15" s="39">
        <v>960.625</v>
      </c>
      <c r="S15" s="39">
        <v>960.625</v>
      </c>
      <c r="T15" s="39">
        <v>944.57100000000003</v>
      </c>
      <c r="U15" s="39">
        <v>944.57100000000003</v>
      </c>
      <c r="V15" s="39">
        <v>3.5249999999999999</v>
      </c>
      <c r="W15" s="39"/>
      <c r="X15" s="39">
        <v>3.5249999999999999</v>
      </c>
      <c r="Y15" s="39">
        <v>3.5249999999999999</v>
      </c>
      <c r="Z15" s="39">
        <v>3.5249999999999999</v>
      </c>
      <c r="AA15" s="39">
        <v>3.5249999999999999</v>
      </c>
      <c r="AB15" s="39">
        <v>934.32399999999996</v>
      </c>
      <c r="AC15" s="39"/>
      <c r="AD15" s="39">
        <v>934.32399999999996</v>
      </c>
      <c r="AE15" s="39">
        <v>934.32399999999996</v>
      </c>
      <c r="AF15" s="39">
        <v>934.32399999999996</v>
      </c>
      <c r="AG15" s="39">
        <v>934.32399999999996</v>
      </c>
    </row>
    <row r="16" spans="1:33">
      <c r="A16" s="91"/>
      <c r="B16" s="17" t="s">
        <v>60</v>
      </c>
      <c r="C16" s="91"/>
      <c r="D16" s="91"/>
      <c r="E16" s="34">
        <v>2</v>
      </c>
      <c r="F16" s="112"/>
      <c r="G16" s="30" t="s">
        <v>81</v>
      </c>
      <c r="H16" s="17">
        <v>1</v>
      </c>
      <c r="I16" s="91"/>
      <c r="J16" s="39">
        <v>5.2</v>
      </c>
      <c r="K16" s="39"/>
      <c r="L16" s="39">
        <v>5.2</v>
      </c>
      <c r="M16" s="39">
        <v>5.2</v>
      </c>
      <c r="N16" s="39">
        <v>5.2</v>
      </c>
      <c r="O16" s="39">
        <v>5.2</v>
      </c>
      <c r="P16" s="39">
        <v>896.71199999999999</v>
      </c>
      <c r="Q16" s="39"/>
      <c r="R16" s="39">
        <v>896.71199999999999</v>
      </c>
      <c r="S16" s="39">
        <v>896.71199999999999</v>
      </c>
      <c r="T16" s="39">
        <v>896.71199999999999</v>
      </c>
      <c r="U16" s="39">
        <v>896.71199999999999</v>
      </c>
      <c r="V16" s="39">
        <v>5.2</v>
      </c>
      <c r="W16" s="39"/>
      <c r="X16" s="39">
        <v>5.2</v>
      </c>
      <c r="Y16" s="39">
        <v>5.2</v>
      </c>
      <c r="Z16" s="39">
        <v>5.2</v>
      </c>
      <c r="AA16" s="39">
        <v>5.2</v>
      </c>
      <c r="AB16" s="39">
        <v>896.71199999999999</v>
      </c>
      <c r="AC16" s="39"/>
      <c r="AD16" s="39">
        <v>896.71199999999999</v>
      </c>
      <c r="AE16" s="39">
        <v>896.71199999999999</v>
      </c>
      <c r="AF16" s="39">
        <v>896.71199999999999</v>
      </c>
      <c r="AG16" s="39">
        <v>896.71199999999999</v>
      </c>
    </row>
    <row r="17" spans="1:33" s="16" customFormat="1">
      <c r="A17" s="92"/>
      <c r="B17" s="30" t="s">
        <v>108</v>
      </c>
      <c r="C17" s="91"/>
      <c r="D17" s="91"/>
      <c r="E17" s="34">
        <v>1</v>
      </c>
      <c r="F17" s="112"/>
      <c r="G17" s="30" t="s">
        <v>81</v>
      </c>
      <c r="H17" s="30"/>
      <c r="I17" s="91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</row>
    <row r="18" spans="1:33">
      <c r="A18" s="2" t="s">
        <v>63</v>
      </c>
      <c r="B18" s="17" t="s">
        <v>64</v>
      </c>
      <c r="C18" s="91"/>
      <c r="D18" s="91"/>
      <c r="E18" s="34">
        <v>12</v>
      </c>
      <c r="F18" s="112"/>
      <c r="G18" s="30" t="s">
        <v>81</v>
      </c>
      <c r="H18" s="17">
        <v>4</v>
      </c>
      <c r="I18" s="91"/>
      <c r="J18" s="39">
        <v>2.9047752121000001</v>
      </c>
      <c r="K18" s="39">
        <v>0.96621375550964328</v>
      </c>
      <c r="L18" s="39">
        <v>1.4242424242</v>
      </c>
      <c r="M18" s="39">
        <v>2.8709677418999999</v>
      </c>
      <c r="N18" s="39">
        <v>3.3414634146000002</v>
      </c>
      <c r="O18" s="39">
        <v>4.3571428571000004</v>
      </c>
      <c r="P18" s="39">
        <v>936.18</v>
      </c>
      <c r="Q18" s="39">
        <v>8.5168893852157197</v>
      </c>
      <c r="R18" s="39">
        <v>946.57100000000003</v>
      </c>
      <c r="S18" s="39">
        <v>939.73500000000001</v>
      </c>
      <c r="T18" s="39">
        <v>929.72199999999998</v>
      </c>
      <c r="U18" s="39">
        <v>924.14499999999998</v>
      </c>
      <c r="V18" s="39">
        <v>3.77561869025</v>
      </c>
      <c r="W18" s="39">
        <v>0.45376151890954058</v>
      </c>
      <c r="X18" s="39">
        <v>3.3414634146000002</v>
      </c>
      <c r="Y18" s="39">
        <v>3.6190476189999998</v>
      </c>
      <c r="Z18" s="39">
        <v>3.7317073171000001</v>
      </c>
      <c r="AA18" s="39">
        <v>4.4102564102999997</v>
      </c>
      <c r="AB18" s="39">
        <v>912.83325000000002</v>
      </c>
      <c r="AC18" s="39">
        <v>23.527339888946219</v>
      </c>
      <c r="AD18" s="39">
        <v>943.20699999999999</v>
      </c>
      <c r="AE18" s="39">
        <v>919.46400000000006</v>
      </c>
      <c r="AF18" s="39">
        <v>896.5</v>
      </c>
      <c r="AG18" s="39">
        <v>892.16200000000003</v>
      </c>
    </row>
    <row r="19" spans="1:33">
      <c r="A19" s="2" t="s">
        <v>65</v>
      </c>
      <c r="B19" s="17" t="s">
        <v>66</v>
      </c>
      <c r="C19" s="92"/>
      <c r="D19" s="92"/>
      <c r="E19" s="34">
        <v>6</v>
      </c>
      <c r="F19" s="113"/>
      <c r="G19" s="30" t="s">
        <v>81</v>
      </c>
      <c r="H19" s="17">
        <v>2</v>
      </c>
      <c r="I19" s="92"/>
      <c r="J19" s="39">
        <v>4.0465116279000002</v>
      </c>
      <c r="K19" s="39"/>
      <c r="L19" s="39">
        <v>4.0465116279000002</v>
      </c>
      <c r="M19" s="39">
        <v>4.0465116279000002</v>
      </c>
      <c r="N19" s="39">
        <v>4.0465116279000002</v>
      </c>
      <c r="O19" s="39">
        <v>4.0465116279000002</v>
      </c>
      <c r="P19" s="39">
        <v>904.779</v>
      </c>
      <c r="Q19" s="39"/>
      <c r="R19" s="39">
        <v>904.779</v>
      </c>
      <c r="S19" s="39">
        <v>904.779</v>
      </c>
      <c r="T19" s="39">
        <v>904.779</v>
      </c>
      <c r="U19" s="39">
        <v>904.779</v>
      </c>
      <c r="V19" s="39">
        <v>4.2613510520500002</v>
      </c>
      <c r="W19" s="39">
        <v>0.30382882736535588</v>
      </c>
      <c r="X19" s="39">
        <v>4.0465116279000002</v>
      </c>
      <c r="Y19" s="39">
        <v>4.0465116279000002</v>
      </c>
      <c r="Z19" s="39">
        <v>4.4761904762000002</v>
      </c>
      <c r="AA19" s="39">
        <v>4.4761904762000002</v>
      </c>
      <c r="AB19" s="39">
        <v>895.64149999999995</v>
      </c>
      <c r="AC19" s="39">
        <v>12.92237642618414</v>
      </c>
      <c r="AD19" s="39">
        <v>904.779</v>
      </c>
      <c r="AE19" s="39">
        <v>904.779</v>
      </c>
      <c r="AF19" s="39">
        <v>886.50400000000002</v>
      </c>
      <c r="AG19" s="39">
        <v>886.50400000000002</v>
      </c>
    </row>
  </sheetData>
  <mergeCells count="28">
    <mergeCell ref="A14:A17"/>
    <mergeCell ref="C14:C19"/>
    <mergeCell ref="D14:D19"/>
    <mergeCell ref="F14:F19"/>
    <mergeCell ref="I14:I19"/>
    <mergeCell ref="A4:A9"/>
    <mergeCell ref="A10:A11"/>
    <mergeCell ref="A12:A13"/>
    <mergeCell ref="AB2:AG2"/>
    <mergeCell ref="A1:A3"/>
    <mergeCell ref="B1:B3"/>
    <mergeCell ref="C4:C9"/>
    <mergeCell ref="F4:F9"/>
    <mergeCell ref="I4:I9"/>
    <mergeCell ref="D4:D9"/>
    <mergeCell ref="V1:AG1"/>
    <mergeCell ref="V2:AA2"/>
    <mergeCell ref="C1:C3"/>
    <mergeCell ref="D1:I1"/>
    <mergeCell ref="D2:D3"/>
    <mergeCell ref="E2:E3"/>
    <mergeCell ref="P2:U2"/>
    <mergeCell ref="J1:U1"/>
    <mergeCell ref="F2:F3"/>
    <mergeCell ref="G2:G3"/>
    <mergeCell ref="H2:H3"/>
    <mergeCell ref="I2:I3"/>
    <mergeCell ref="J2:O2"/>
  </mergeCells>
  <phoneticPr fontId="7" type="noConversion"/>
  <conditionalFormatting sqref="G4:G19">
    <cfRule type="containsBlanks" dxfId="2" priority="1">
      <formula>LEN(TRIM(G4))=0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30"/>
  <sheetViews>
    <sheetView zoomScale="70" zoomScaleNormal="70" workbookViewId="0">
      <pane xSplit="2" ySplit="3" topLeftCell="C4" activePane="bottomRight" state="frozen"/>
      <selection pane="topRight"/>
      <selection pane="bottomLeft"/>
      <selection pane="bottomRight" activeCell="J4" sqref="J4:AG30"/>
    </sheetView>
  </sheetViews>
  <sheetFormatPr defaultRowHeight="16.5"/>
  <cols>
    <col min="1" max="1" width="14" customWidth="1"/>
    <col min="2" max="2" width="30.5" style="6" customWidth="1"/>
    <col min="3" max="4" width="13.375" customWidth="1"/>
    <col min="5" max="5" width="13.375" style="6" customWidth="1"/>
    <col min="6" max="9" width="13.375" customWidth="1"/>
    <col min="10" max="33" width="11" customWidth="1"/>
  </cols>
  <sheetData>
    <row r="1" spans="1:33">
      <c r="A1" s="90" t="s">
        <v>2</v>
      </c>
      <c r="B1" s="91" t="s">
        <v>3</v>
      </c>
      <c r="C1" s="86" t="s">
        <v>79</v>
      </c>
      <c r="D1" s="71" t="s">
        <v>78</v>
      </c>
      <c r="E1" s="71"/>
      <c r="F1" s="71"/>
      <c r="G1" s="71"/>
      <c r="H1" s="71"/>
      <c r="I1" s="71"/>
      <c r="J1" s="75" t="s">
        <v>113</v>
      </c>
      <c r="K1" s="76"/>
      <c r="L1" s="76"/>
      <c r="M1" s="76"/>
      <c r="N1" s="76"/>
      <c r="O1" s="76"/>
      <c r="P1" s="76"/>
      <c r="Q1" s="76"/>
      <c r="R1" s="76"/>
      <c r="S1" s="76"/>
      <c r="T1" s="76"/>
      <c r="U1" s="77"/>
      <c r="V1" s="75" t="s">
        <v>116</v>
      </c>
      <c r="W1" s="76"/>
      <c r="X1" s="76"/>
      <c r="Y1" s="76"/>
      <c r="Z1" s="76"/>
      <c r="AA1" s="76"/>
      <c r="AB1" s="76"/>
      <c r="AC1" s="76"/>
      <c r="AD1" s="76"/>
      <c r="AE1" s="76"/>
      <c r="AF1" s="76"/>
      <c r="AG1" s="77"/>
    </row>
    <row r="2" spans="1:33" ht="21.95" customHeight="1">
      <c r="A2" s="91"/>
      <c r="B2" s="91"/>
      <c r="C2" s="86"/>
      <c r="D2" s="71" t="s">
        <v>70</v>
      </c>
      <c r="E2" s="71" t="s">
        <v>71</v>
      </c>
      <c r="F2" s="71" t="s">
        <v>72</v>
      </c>
      <c r="G2" s="86" t="s">
        <v>73</v>
      </c>
      <c r="H2" s="86" t="s">
        <v>74</v>
      </c>
      <c r="I2" s="86" t="s">
        <v>75</v>
      </c>
      <c r="J2" s="87" t="s">
        <v>4</v>
      </c>
      <c r="K2" s="88"/>
      <c r="L2" s="88"/>
      <c r="M2" s="88"/>
      <c r="N2" s="88"/>
      <c r="O2" s="89"/>
      <c r="P2" s="75" t="s">
        <v>122</v>
      </c>
      <c r="Q2" s="76"/>
      <c r="R2" s="76"/>
      <c r="S2" s="76"/>
      <c r="T2" s="76"/>
      <c r="U2" s="77"/>
      <c r="V2" s="87" t="s">
        <v>4</v>
      </c>
      <c r="W2" s="88"/>
      <c r="X2" s="88"/>
      <c r="Y2" s="88"/>
      <c r="Z2" s="88"/>
      <c r="AA2" s="89"/>
      <c r="AB2" s="75" t="s">
        <v>122</v>
      </c>
      <c r="AC2" s="76"/>
      <c r="AD2" s="76"/>
      <c r="AE2" s="76"/>
      <c r="AF2" s="76"/>
      <c r="AG2" s="77"/>
    </row>
    <row r="3" spans="1:33" ht="21.95" customHeight="1">
      <c r="A3" s="92"/>
      <c r="B3" s="92"/>
      <c r="C3" s="86"/>
      <c r="D3" s="71"/>
      <c r="E3" s="71"/>
      <c r="F3" s="71"/>
      <c r="G3" s="86"/>
      <c r="H3" s="86"/>
      <c r="I3" s="86"/>
      <c r="J3" s="1" t="s">
        <v>6</v>
      </c>
      <c r="K3" s="1" t="s">
        <v>7</v>
      </c>
      <c r="L3" s="1" t="s">
        <v>10</v>
      </c>
      <c r="M3" s="1" t="s">
        <v>8</v>
      </c>
      <c r="N3" s="1" t="s">
        <v>9</v>
      </c>
      <c r="O3" s="1" t="s">
        <v>11</v>
      </c>
      <c r="P3" s="1" t="s">
        <v>6</v>
      </c>
      <c r="Q3" s="1" t="s">
        <v>7</v>
      </c>
      <c r="R3" s="1" t="s">
        <v>12</v>
      </c>
      <c r="S3" s="1" t="s">
        <v>8</v>
      </c>
      <c r="T3" s="1" t="s">
        <v>9</v>
      </c>
      <c r="U3" s="1" t="s">
        <v>13</v>
      </c>
      <c r="V3" s="1" t="s">
        <v>6</v>
      </c>
      <c r="W3" s="1" t="s">
        <v>7</v>
      </c>
      <c r="X3" s="1" t="s">
        <v>10</v>
      </c>
      <c r="Y3" s="1" t="s">
        <v>8</v>
      </c>
      <c r="Z3" s="1" t="s">
        <v>9</v>
      </c>
      <c r="AA3" s="1" t="s">
        <v>11</v>
      </c>
      <c r="AB3" s="1" t="s">
        <v>6</v>
      </c>
      <c r="AC3" s="1" t="s">
        <v>7</v>
      </c>
      <c r="AD3" s="1" t="s">
        <v>12</v>
      </c>
      <c r="AE3" s="1" t="s">
        <v>8</v>
      </c>
      <c r="AF3" s="1" t="s">
        <v>9</v>
      </c>
      <c r="AG3" s="1" t="s">
        <v>13</v>
      </c>
    </row>
    <row r="4" spans="1:33">
      <c r="A4" s="90" t="s">
        <v>14</v>
      </c>
      <c r="B4" s="17" t="s">
        <v>15</v>
      </c>
      <c r="C4" s="90">
        <v>5</v>
      </c>
      <c r="D4" s="90">
        <v>5</v>
      </c>
      <c r="E4" s="5">
        <v>5</v>
      </c>
      <c r="F4" s="111">
        <f>12/5</f>
        <v>2.4</v>
      </c>
      <c r="G4" s="17" t="s">
        <v>81</v>
      </c>
      <c r="H4" s="5">
        <v>2</v>
      </c>
      <c r="I4" s="90">
        <v>1</v>
      </c>
      <c r="J4" s="39">
        <v>4.7666666666499999</v>
      </c>
      <c r="K4" s="39">
        <v>0.32998316457729249</v>
      </c>
      <c r="L4" s="39">
        <v>4.5333333332999999</v>
      </c>
      <c r="M4" s="39">
        <v>4.5333333332999999</v>
      </c>
      <c r="N4" s="39">
        <v>5</v>
      </c>
      <c r="O4" s="39">
        <v>5</v>
      </c>
      <c r="P4" s="39">
        <v>899.56799999999998</v>
      </c>
      <c r="Q4" s="39">
        <v>11.23309832592947</v>
      </c>
      <c r="R4" s="39">
        <v>907.51099999999997</v>
      </c>
      <c r="S4" s="39">
        <v>907.51099999999997</v>
      </c>
      <c r="T4" s="39">
        <v>891.625</v>
      </c>
      <c r="U4" s="39">
        <v>891.625</v>
      </c>
      <c r="V4" s="39">
        <v>5.1034013605500004</v>
      </c>
      <c r="W4" s="39">
        <v>0.80619793561222519</v>
      </c>
      <c r="X4" s="39">
        <v>4.5333333332999999</v>
      </c>
      <c r="Y4" s="39">
        <v>4.5333333332999999</v>
      </c>
      <c r="Z4" s="39">
        <v>5.6734693878</v>
      </c>
      <c r="AA4" s="39">
        <v>5.6734693878</v>
      </c>
      <c r="AB4" s="39">
        <v>891.37300000000005</v>
      </c>
      <c r="AC4" s="39">
        <v>22.822578469576971</v>
      </c>
      <c r="AD4" s="39">
        <v>907.51099999999997</v>
      </c>
      <c r="AE4" s="39">
        <v>907.51099999999997</v>
      </c>
      <c r="AF4" s="39">
        <v>875.23500000000001</v>
      </c>
      <c r="AG4" s="39">
        <v>875.23500000000001</v>
      </c>
    </row>
    <row r="5" spans="1:33" s="4" customFormat="1">
      <c r="A5" s="91"/>
      <c r="B5" s="17" t="s">
        <v>98</v>
      </c>
      <c r="C5" s="91"/>
      <c r="D5" s="91"/>
      <c r="E5" s="30">
        <v>1</v>
      </c>
      <c r="F5" s="112"/>
      <c r="G5" s="17" t="s">
        <v>81</v>
      </c>
      <c r="H5" s="5">
        <v>0</v>
      </c>
      <c r="I5" s="91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</row>
    <row r="6" spans="1:33">
      <c r="A6" s="91"/>
      <c r="B6" s="17" t="s">
        <v>18</v>
      </c>
      <c r="C6" s="91"/>
      <c r="D6" s="91"/>
      <c r="E6" s="30">
        <v>4</v>
      </c>
      <c r="F6" s="112"/>
      <c r="G6" s="17" t="s">
        <v>81</v>
      </c>
      <c r="H6" s="5">
        <v>1</v>
      </c>
      <c r="I6" s="91"/>
      <c r="J6" s="39">
        <v>4.6916099773000006</v>
      </c>
      <c r="K6" s="39">
        <v>0.3495448487783534</v>
      </c>
      <c r="L6" s="39">
        <v>4.4444444444000002</v>
      </c>
      <c r="M6" s="39">
        <v>4.4444444444000002</v>
      </c>
      <c r="N6" s="39">
        <v>4.9387755102000002</v>
      </c>
      <c r="O6" s="39">
        <v>4.9387755102000002</v>
      </c>
      <c r="P6" s="39">
        <v>891.68650000000002</v>
      </c>
      <c r="Q6" s="39">
        <v>7.0434906473992092</v>
      </c>
      <c r="R6" s="39">
        <v>896.66700000000003</v>
      </c>
      <c r="S6" s="39">
        <v>896.66700000000003</v>
      </c>
      <c r="T6" s="39">
        <v>886.70600000000002</v>
      </c>
      <c r="U6" s="39">
        <v>886.70600000000002</v>
      </c>
      <c r="V6" s="39">
        <v>4.4444444444000002</v>
      </c>
      <c r="W6" s="39"/>
      <c r="X6" s="39">
        <v>4.4444444444000002</v>
      </c>
      <c r="Y6" s="39">
        <v>4.4444444444000002</v>
      </c>
      <c r="Z6" s="39">
        <v>4.4444444444000002</v>
      </c>
      <c r="AA6" s="39">
        <v>4.4444444444000002</v>
      </c>
      <c r="AB6" s="39">
        <v>896.66700000000003</v>
      </c>
      <c r="AC6" s="39"/>
      <c r="AD6" s="39">
        <v>896.66700000000003</v>
      </c>
      <c r="AE6" s="39">
        <v>896.66700000000003</v>
      </c>
      <c r="AF6" s="39">
        <v>896.66700000000003</v>
      </c>
      <c r="AG6" s="39">
        <v>896.66700000000003</v>
      </c>
    </row>
    <row r="7" spans="1:33" s="4" customFormat="1">
      <c r="A7" s="91"/>
      <c r="B7" s="17" t="s">
        <v>99</v>
      </c>
      <c r="C7" s="91"/>
      <c r="D7" s="91"/>
      <c r="E7" s="30">
        <v>1</v>
      </c>
      <c r="F7" s="112"/>
      <c r="G7" s="17" t="s">
        <v>81</v>
      </c>
      <c r="H7" s="5">
        <v>0</v>
      </c>
      <c r="I7" s="91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</row>
    <row r="8" spans="1:33">
      <c r="A8" s="92"/>
      <c r="B8" s="17" t="s">
        <v>20</v>
      </c>
      <c r="C8" s="92"/>
      <c r="D8" s="92"/>
      <c r="E8" s="30">
        <v>1</v>
      </c>
      <c r="F8" s="113"/>
      <c r="G8" s="17" t="s">
        <v>81</v>
      </c>
      <c r="H8" s="5">
        <v>1</v>
      </c>
      <c r="I8" s="92"/>
      <c r="J8" s="39">
        <v>5.5</v>
      </c>
      <c r="K8" s="39"/>
      <c r="L8" s="39">
        <v>5.5</v>
      </c>
      <c r="M8" s="39">
        <v>5.5</v>
      </c>
      <c r="N8" s="39">
        <v>5.5</v>
      </c>
      <c r="O8" s="39">
        <v>5.5</v>
      </c>
      <c r="P8" s="39">
        <v>880.63800000000003</v>
      </c>
      <c r="Q8" s="39"/>
      <c r="R8" s="39">
        <v>880.63800000000003</v>
      </c>
      <c r="S8" s="39">
        <v>880.63800000000003</v>
      </c>
      <c r="T8" s="39">
        <v>880.63800000000003</v>
      </c>
      <c r="U8" s="39">
        <v>880.63800000000003</v>
      </c>
      <c r="V8" s="39">
        <v>5.5</v>
      </c>
      <c r="W8" s="39"/>
      <c r="X8" s="39">
        <v>5.5</v>
      </c>
      <c r="Y8" s="39">
        <v>5.5</v>
      </c>
      <c r="Z8" s="39">
        <v>5.5</v>
      </c>
      <c r="AA8" s="39">
        <v>5.5</v>
      </c>
      <c r="AB8" s="39">
        <v>880.63800000000003</v>
      </c>
      <c r="AC8" s="39"/>
      <c r="AD8" s="39">
        <v>880.63800000000003</v>
      </c>
      <c r="AE8" s="39">
        <v>880.63800000000003</v>
      </c>
      <c r="AF8" s="39">
        <v>880.63800000000003</v>
      </c>
      <c r="AG8" s="39">
        <v>880.63800000000003</v>
      </c>
    </row>
    <row r="9" spans="1:33">
      <c r="A9" s="90" t="s">
        <v>22</v>
      </c>
      <c r="B9" s="17" t="s">
        <v>23</v>
      </c>
      <c r="C9" s="90">
        <v>6</v>
      </c>
      <c r="D9" s="90">
        <v>6</v>
      </c>
      <c r="E9" s="30">
        <v>6</v>
      </c>
      <c r="F9" s="111">
        <f>17/6</f>
        <v>2.8333333333333335</v>
      </c>
      <c r="G9" s="17" t="s">
        <v>81</v>
      </c>
      <c r="H9" s="5">
        <v>2</v>
      </c>
      <c r="I9" s="90">
        <v>10</v>
      </c>
      <c r="J9" s="39"/>
      <c r="K9" s="39"/>
      <c r="L9" s="39"/>
      <c r="M9" s="39">
        <v>0</v>
      </c>
      <c r="N9" s="39">
        <v>0</v>
      </c>
      <c r="O9" s="39"/>
      <c r="P9" s="39">
        <v>915</v>
      </c>
      <c r="Q9" s="39"/>
      <c r="R9" s="39">
        <v>915</v>
      </c>
      <c r="S9" s="39">
        <v>915</v>
      </c>
      <c r="T9" s="39">
        <v>915</v>
      </c>
      <c r="U9" s="39">
        <v>915</v>
      </c>
      <c r="V9" s="39">
        <v>4.9548872179999996</v>
      </c>
      <c r="W9" s="39">
        <v>0.13823140083027011</v>
      </c>
      <c r="X9" s="39">
        <v>4.8571428571000004</v>
      </c>
      <c r="Y9" s="39">
        <v>4.8571428571000004</v>
      </c>
      <c r="Z9" s="39">
        <v>5.0526315788999998</v>
      </c>
      <c r="AA9" s="39">
        <v>5.0526315788999998</v>
      </c>
      <c r="AB9" s="39">
        <v>890.84550000000002</v>
      </c>
      <c r="AC9" s="39">
        <v>10.03455233181832</v>
      </c>
      <c r="AD9" s="39">
        <v>897.94100000000003</v>
      </c>
      <c r="AE9" s="39">
        <v>897.94100000000003</v>
      </c>
      <c r="AF9" s="39">
        <v>883.75</v>
      </c>
      <c r="AG9" s="39">
        <v>883.75</v>
      </c>
    </row>
    <row r="10" spans="1:33">
      <c r="A10" s="91"/>
      <c r="B10" s="17" t="s">
        <v>24</v>
      </c>
      <c r="C10" s="91"/>
      <c r="D10" s="91"/>
      <c r="E10" s="30">
        <v>1</v>
      </c>
      <c r="F10" s="112"/>
      <c r="G10" s="17" t="s">
        <v>81</v>
      </c>
      <c r="H10" s="5">
        <v>0</v>
      </c>
      <c r="I10" s="91"/>
      <c r="J10" s="39"/>
      <c r="K10" s="39"/>
      <c r="L10" s="39"/>
      <c r="M10" s="39">
        <v>0</v>
      </c>
      <c r="N10" s="39">
        <v>0</v>
      </c>
      <c r="O10" s="39"/>
      <c r="P10" s="39">
        <v>907</v>
      </c>
      <c r="Q10" s="39"/>
      <c r="R10" s="39">
        <v>907</v>
      </c>
      <c r="S10" s="39">
        <v>907</v>
      </c>
      <c r="T10" s="39">
        <v>907</v>
      </c>
      <c r="U10" s="39">
        <v>907</v>
      </c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</row>
    <row r="11" spans="1:33">
      <c r="A11" s="91"/>
      <c r="B11" s="17" t="s">
        <v>25</v>
      </c>
      <c r="C11" s="91"/>
      <c r="D11" s="91"/>
      <c r="E11" s="30">
        <v>3</v>
      </c>
      <c r="F11" s="112"/>
      <c r="G11" s="17" t="s">
        <v>81</v>
      </c>
      <c r="H11" s="5">
        <v>1</v>
      </c>
      <c r="I11" s="91"/>
      <c r="J11" s="39">
        <v>4.2954545455000002</v>
      </c>
      <c r="K11" s="39"/>
      <c r="L11" s="39">
        <v>4.2954545455000002</v>
      </c>
      <c r="M11" s="39">
        <v>4.2954545455000002</v>
      </c>
      <c r="N11" s="39">
        <v>4.2954545455000002</v>
      </c>
      <c r="O11" s="39">
        <v>4.2954545455000002</v>
      </c>
      <c r="P11" s="39">
        <v>912.41</v>
      </c>
      <c r="Q11" s="39"/>
      <c r="R11" s="39">
        <v>912.41</v>
      </c>
      <c r="S11" s="39">
        <v>912.41</v>
      </c>
      <c r="T11" s="39">
        <v>912.41</v>
      </c>
      <c r="U11" s="39">
        <v>912.41</v>
      </c>
      <c r="V11" s="39">
        <v>5.6818181817999998</v>
      </c>
      <c r="W11" s="39"/>
      <c r="X11" s="39">
        <v>5.6818181817999998</v>
      </c>
      <c r="Y11" s="39">
        <v>5.6818181817999998</v>
      </c>
      <c r="Z11" s="39">
        <v>5.6818181817999998</v>
      </c>
      <c r="AA11" s="39">
        <v>5.6818181817999998</v>
      </c>
      <c r="AB11" s="39">
        <v>836.2</v>
      </c>
      <c r="AC11" s="39"/>
      <c r="AD11" s="39">
        <v>836.2</v>
      </c>
      <c r="AE11" s="39">
        <v>836.2</v>
      </c>
      <c r="AF11" s="39">
        <v>836.2</v>
      </c>
      <c r="AG11" s="39">
        <v>836.2</v>
      </c>
    </row>
    <row r="12" spans="1:33">
      <c r="A12" s="91"/>
      <c r="B12" s="17" t="s">
        <v>26</v>
      </c>
      <c r="C12" s="91"/>
      <c r="D12" s="91"/>
      <c r="E12" s="30">
        <v>2</v>
      </c>
      <c r="F12" s="112"/>
      <c r="G12" s="17" t="s">
        <v>81</v>
      </c>
      <c r="H12" s="5">
        <v>1</v>
      </c>
      <c r="I12" s="91"/>
      <c r="J12" s="39">
        <v>3.6646623496999999</v>
      </c>
      <c r="K12" s="39">
        <v>1.150602061169256</v>
      </c>
      <c r="L12" s="39">
        <v>2.8510638298000002</v>
      </c>
      <c r="M12" s="39">
        <v>2.8510638298000002</v>
      </c>
      <c r="N12" s="39">
        <v>4.4782608695999997</v>
      </c>
      <c r="O12" s="39">
        <v>4.4782608695999997</v>
      </c>
      <c r="P12" s="39">
        <v>929.346</v>
      </c>
      <c r="Q12" s="39">
        <v>31.27533293188101</v>
      </c>
      <c r="R12" s="39">
        <v>951.46100000000001</v>
      </c>
      <c r="S12" s="39">
        <v>951.46100000000001</v>
      </c>
      <c r="T12" s="39">
        <v>907.23099999999999</v>
      </c>
      <c r="U12" s="39">
        <v>907.23099999999999</v>
      </c>
      <c r="V12" s="39">
        <v>4.4782608695999997</v>
      </c>
      <c r="W12" s="39"/>
      <c r="X12" s="39">
        <v>4.4782608695999997</v>
      </c>
      <c r="Y12" s="39">
        <v>4.4782608695999997</v>
      </c>
      <c r="Z12" s="39">
        <v>4.4782608695999997</v>
      </c>
      <c r="AA12" s="39">
        <v>4.4782608695999997</v>
      </c>
      <c r="AB12" s="39">
        <v>907.23099999999999</v>
      </c>
      <c r="AC12" s="39"/>
      <c r="AD12" s="39">
        <v>907.23099999999999</v>
      </c>
      <c r="AE12" s="39">
        <v>907.23099999999999</v>
      </c>
      <c r="AF12" s="39">
        <v>907.23099999999999</v>
      </c>
      <c r="AG12" s="39">
        <v>907.23099999999999</v>
      </c>
    </row>
    <row r="13" spans="1:33">
      <c r="A13" s="91"/>
      <c r="B13" s="17" t="s">
        <v>27</v>
      </c>
      <c r="C13" s="91"/>
      <c r="D13" s="91"/>
      <c r="E13" s="30">
        <v>3</v>
      </c>
      <c r="F13" s="112"/>
      <c r="G13" s="17" t="s">
        <v>81</v>
      </c>
      <c r="H13" s="5">
        <v>1</v>
      </c>
      <c r="I13" s="91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>
        <v>6.9347826087</v>
      </c>
      <c r="W13" s="39"/>
      <c r="X13" s="39">
        <v>6.9347826087</v>
      </c>
      <c r="Y13" s="39">
        <v>6.9347826087</v>
      </c>
      <c r="Z13" s="39">
        <v>6.9347826087</v>
      </c>
      <c r="AA13" s="39">
        <v>6.9347826087</v>
      </c>
      <c r="AB13" s="39">
        <v>837.43799999999999</v>
      </c>
      <c r="AC13" s="39"/>
      <c r="AD13" s="39">
        <v>837.43799999999999</v>
      </c>
      <c r="AE13" s="39">
        <v>837.43799999999999</v>
      </c>
      <c r="AF13" s="39">
        <v>837.43799999999999</v>
      </c>
      <c r="AG13" s="39">
        <v>837.43799999999999</v>
      </c>
    </row>
    <row r="14" spans="1:33">
      <c r="A14" s="92"/>
      <c r="B14" s="17" t="s">
        <v>28</v>
      </c>
      <c r="C14" s="92"/>
      <c r="D14" s="92"/>
      <c r="E14" s="30">
        <v>2</v>
      </c>
      <c r="F14" s="113"/>
      <c r="G14" s="17" t="s">
        <v>81</v>
      </c>
      <c r="H14" s="5">
        <v>0</v>
      </c>
      <c r="I14" s="92"/>
      <c r="J14" s="39"/>
      <c r="K14" s="39"/>
      <c r="L14" s="39"/>
      <c r="M14" s="39">
        <v>0</v>
      </c>
      <c r="N14" s="39">
        <v>0</v>
      </c>
      <c r="O14" s="39"/>
      <c r="P14" s="39">
        <v>919</v>
      </c>
      <c r="Q14" s="39"/>
      <c r="R14" s="39">
        <v>919</v>
      </c>
      <c r="S14" s="39">
        <v>919</v>
      </c>
      <c r="T14" s="39">
        <v>919</v>
      </c>
      <c r="U14" s="39">
        <v>919</v>
      </c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</row>
    <row r="15" spans="1:33">
      <c r="A15" s="90" t="s">
        <v>31</v>
      </c>
      <c r="B15" s="17" t="s">
        <v>32</v>
      </c>
      <c r="C15" s="90">
        <v>4</v>
      </c>
      <c r="D15" s="90">
        <v>4</v>
      </c>
      <c r="E15" s="30">
        <v>1</v>
      </c>
      <c r="F15" s="111">
        <v>2</v>
      </c>
      <c r="G15" s="17" t="s">
        <v>81</v>
      </c>
      <c r="H15" s="5">
        <v>1</v>
      </c>
      <c r="I15" s="90">
        <v>0</v>
      </c>
      <c r="J15" s="39">
        <v>5.2941176471000002</v>
      </c>
      <c r="K15" s="39"/>
      <c r="L15" s="39">
        <v>5.2941176471000002</v>
      </c>
      <c r="M15" s="39">
        <v>5.2941176471000002</v>
      </c>
      <c r="N15" s="39">
        <v>5.2941176471000002</v>
      </c>
      <c r="O15" s="39">
        <v>5.2941176471000002</v>
      </c>
      <c r="P15" s="39">
        <v>886.93399999999997</v>
      </c>
      <c r="Q15" s="39"/>
      <c r="R15" s="39">
        <v>886.93399999999997</v>
      </c>
      <c r="S15" s="39">
        <v>886.93399999999997</v>
      </c>
      <c r="T15" s="39">
        <v>886.93399999999997</v>
      </c>
      <c r="U15" s="39">
        <v>886.93399999999997</v>
      </c>
      <c r="V15" s="39">
        <v>5.2941176471000002</v>
      </c>
      <c r="W15" s="39"/>
      <c r="X15" s="39">
        <v>5.2941176471000002</v>
      </c>
      <c r="Y15" s="39">
        <v>5.2941176471000002</v>
      </c>
      <c r="Z15" s="39">
        <v>5.2941176471000002</v>
      </c>
      <c r="AA15" s="39">
        <v>5.2941176471000002</v>
      </c>
      <c r="AB15" s="39">
        <v>886.93399999999997</v>
      </c>
      <c r="AC15" s="39"/>
      <c r="AD15" s="39">
        <v>886.93399999999997</v>
      </c>
      <c r="AE15" s="39">
        <v>886.93399999999997</v>
      </c>
      <c r="AF15" s="39">
        <v>886.93399999999997</v>
      </c>
      <c r="AG15" s="39">
        <v>886.93399999999997</v>
      </c>
    </row>
    <row r="16" spans="1:33">
      <c r="A16" s="91"/>
      <c r="B16" s="17" t="s">
        <v>33</v>
      </c>
      <c r="C16" s="91"/>
      <c r="D16" s="91"/>
      <c r="E16" s="30">
        <v>3</v>
      </c>
      <c r="F16" s="112"/>
      <c r="G16" s="17" t="s">
        <v>81</v>
      </c>
      <c r="H16" s="5">
        <v>3</v>
      </c>
      <c r="I16" s="91"/>
      <c r="J16" s="39">
        <v>5.2973514211666668</v>
      </c>
      <c r="K16" s="39">
        <v>0.4864856952948014</v>
      </c>
      <c r="L16" s="39">
        <v>4.8837209302</v>
      </c>
      <c r="M16" s="39">
        <v>5.1749999999999998</v>
      </c>
      <c r="N16" s="39">
        <v>5.8333333332999997</v>
      </c>
      <c r="O16" s="39">
        <v>5.8333333332999997</v>
      </c>
      <c r="P16" s="39">
        <v>882.52599999999995</v>
      </c>
      <c r="Q16" s="39">
        <v>12.24877924529628</v>
      </c>
      <c r="R16" s="39">
        <v>895.13300000000004</v>
      </c>
      <c r="S16" s="39">
        <v>881.77499999999998</v>
      </c>
      <c r="T16" s="39">
        <v>870.67</v>
      </c>
      <c r="U16" s="39">
        <v>870.67</v>
      </c>
      <c r="V16" s="39">
        <v>5.2973514211666668</v>
      </c>
      <c r="W16" s="39">
        <v>0.4864856952948014</v>
      </c>
      <c r="X16" s="39">
        <v>4.8837209302</v>
      </c>
      <c r="Y16" s="39">
        <v>5.1749999999999998</v>
      </c>
      <c r="Z16" s="39">
        <v>5.8333333332999997</v>
      </c>
      <c r="AA16" s="39">
        <v>5.8333333332999997</v>
      </c>
      <c r="AB16" s="39">
        <v>882.52599999999995</v>
      </c>
      <c r="AC16" s="39">
        <v>12.24877924529628</v>
      </c>
      <c r="AD16" s="39">
        <v>895.13300000000004</v>
      </c>
      <c r="AE16" s="39">
        <v>881.77499999999998</v>
      </c>
      <c r="AF16" s="39">
        <v>870.67</v>
      </c>
      <c r="AG16" s="39">
        <v>870.67</v>
      </c>
    </row>
    <row r="17" spans="1:33" s="4" customFormat="1">
      <c r="A17" s="91"/>
      <c r="B17" s="17" t="s">
        <v>100</v>
      </c>
      <c r="C17" s="91"/>
      <c r="D17" s="91"/>
      <c r="E17" s="30">
        <v>1</v>
      </c>
      <c r="F17" s="112"/>
      <c r="G17" s="17" t="s">
        <v>81</v>
      </c>
      <c r="H17" s="5">
        <v>0</v>
      </c>
      <c r="I17" s="91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</row>
    <row r="18" spans="1:33" s="4" customFormat="1">
      <c r="A18" s="92"/>
      <c r="B18" s="17" t="s">
        <v>101</v>
      </c>
      <c r="C18" s="92"/>
      <c r="D18" s="92"/>
      <c r="E18" s="30">
        <v>3</v>
      </c>
      <c r="F18" s="113"/>
      <c r="G18" s="17" t="s">
        <v>81</v>
      </c>
      <c r="H18" s="5">
        <v>0</v>
      </c>
      <c r="I18" s="92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</row>
    <row r="19" spans="1:33">
      <c r="A19" s="90" t="s">
        <v>37</v>
      </c>
      <c r="B19" s="17" t="s">
        <v>38</v>
      </c>
      <c r="C19" s="90">
        <v>4</v>
      </c>
      <c r="D19" s="90">
        <v>4</v>
      </c>
      <c r="E19" s="30">
        <v>2</v>
      </c>
      <c r="F19" s="90">
        <f>9/4</f>
        <v>2.25</v>
      </c>
      <c r="G19" s="17" t="s">
        <v>81</v>
      </c>
      <c r="H19" s="5">
        <v>1</v>
      </c>
      <c r="I19" s="90">
        <v>0</v>
      </c>
      <c r="J19" s="39">
        <v>5.5780303030000002</v>
      </c>
      <c r="K19" s="39">
        <v>0.62889648569595702</v>
      </c>
      <c r="L19" s="39">
        <v>5.1333333333000004</v>
      </c>
      <c r="M19" s="39">
        <v>5.1333333333000004</v>
      </c>
      <c r="N19" s="39">
        <v>6.0227272727000001</v>
      </c>
      <c r="O19" s="39">
        <v>6.0227272727000001</v>
      </c>
      <c r="P19" s="39">
        <v>878.93650000000002</v>
      </c>
      <c r="Q19" s="39">
        <v>18.078599074596461</v>
      </c>
      <c r="R19" s="39">
        <v>891.72</v>
      </c>
      <c r="S19" s="39">
        <v>891.72</v>
      </c>
      <c r="T19" s="39">
        <v>866.15300000000002</v>
      </c>
      <c r="U19" s="39">
        <v>866.15300000000002</v>
      </c>
      <c r="V19" s="39">
        <v>6.0227272727000001</v>
      </c>
      <c r="W19" s="39"/>
      <c r="X19" s="39">
        <v>6.0227272727000001</v>
      </c>
      <c r="Y19" s="39">
        <v>6.0227272727000001</v>
      </c>
      <c r="Z19" s="39">
        <v>6.0227272727000001</v>
      </c>
      <c r="AA19" s="39">
        <v>6.0227272727000001</v>
      </c>
      <c r="AB19" s="39">
        <v>866.15300000000002</v>
      </c>
      <c r="AC19" s="39"/>
      <c r="AD19" s="39">
        <v>866.15300000000002</v>
      </c>
      <c r="AE19" s="39">
        <v>866.15300000000002</v>
      </c>
      <c r="AF19" s="39">
        <v>866.15300000000002</v>
      </c>
      <c r="AG19" s="39">
        <v>866.15300000000002</v>
      </c>
    </row>
    <row r="20" spans="1:33">
      <c r="A20" s="91"/>
      <c r="B20" s="17" t="s">
        <v>40</v>
      </c>
      <c r="C20" s="91"/>
      <c r="D20" s="91"/>
      <c r="E20" s="30">
        <v>2</v>
      </c>
      <c r="F20" s="91"/>
      <c r="G20" s="17" t="s">
        <v>81</v>
      </c>
      <c r="H20" s="5">
        <v>2</v>
      </c>
      <c r="I20" s="91"/>
      <c r="J20" s="39">
        <v>5.0181405895500006</v>
      </c>
      <c r="K20" s="39">
        <v>0.60288469322080129</v>
      </c>
      <c r="L20" s="39">
        <v>4.5918367347000002</v>
      </c>
      <c r="M20" s="39">
        <v>4.5918367347000002</v>
      </c>
      <c r="N20" s="39">
        <v>5.4444444444000002</v>
      </c>
      <c r="O20" s="39">
        <v>5.4444444444000002</v>
      </c>
      <c r="P20" s="39">
        <v>892.99149999999997</v>
      </c>
      <c r="Q20" s="39">
        <v>16.733681976779621</v>
      </c>
      <c r="R20" s="39">
        <v>904.82399999999996</v>
      </c>
      <c r="S20" s="39">
        <v>904.82399999999996</v>
      </c>
      <c r="T20" s="39">
        <v>881.15899999999999</v>
      </c>
      <c r="U20" s="39">
        <v>881.15899999999999</v>
      </c>
      <c r="V20" s="39">
        <v>5.0181405895500006</v>
      </c>
      <c r="W20" s="39">
        <v>0.60288469322080129</v>
      </c>
      <c r="X20" s="39">
        <v>4.5918367347000002</v>
      </c>
      <c r="Y20" s="39">
        <v>4.5918367347000002</v>
      </c>
      <c r="Z20" s="39">
        <v>5.4444444444000002</v>
      </c>
      <c r="AA20" s="39">
        <v>5.4444444444000002</v>
      </c>
      <c r="AB20" s="39">
        <v>666.82766666666669</v>
      </c>
      <c r="AC20" s="39">
        <v>391.90591546994199</v>
      </c>
      <c r="AD20" s="39">
        <v>904.82399999999996</v>
      </c>
      <c r="AE20" s="39">
        <v>881.15899999999999</v>
      </c>
      <c r="AF20" s="39">
        <v>214.5</v>
      </c>
      <c r="AG20" s="39">
        <v>214.5</v>
      </c>
    </row>
    <row r="21" spans="1:33">
      <c r="A21" s="91"/>
      <c r="B21" s="17" t="s">
        <v>41</v>
      </c>
      <c r="C21" s="91"/>
      <c r="D21" s="91"/>
      <c r="E21" s="30">
        <v>1</v>
      </c>
      <c r="F21" s="91"/>
      <c r="G21" s="17" t="s">
        <v>81</v>
      </c>
      <c r="H21" s="5">
        <v>0</v>
      </c>
      <c r="I21" s="91"/>
      <c r="J21" s="39"/>
      <c r="K21" s="39"/>
      <c r="L21" s="39"/>
      <c r="M21" s="39">
        <v>0</v>
      </c>
      <c r="N21" s="39">
        <v>0</v>
      </c>
      <c r="O21" s="39"/>
      <c r="P21" s="39">
        <v>219</v>
      </c>
      <c r="Q21" s="39"/>
      <c r="R21" s="39">
        <v>219</v>
      </c>
      <c r="S21" s="39">
        <v>219</v>
      </c>
      <c r="T21" s="39">
        <v>219</v>
      </c>
      <c r="U21" s="39">
        <v>219</v>
      </c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</row>
    <row r="22" spans="1:33" s="4" customFormat="1">
      <c r="A22" s="92"/>
      <c r="B22" s="17" t="s">
        <v>102</v>
      </c>
      <c r="C22" s="92"/>
      <c r="D22" s="92"/>
      <c r="E22" s="30">
        <v>4</v>
      </c>
      <c r="F22" s="92"/>
      <c r="G22" s="17" t="s">
        <v>81</v>
      </c>
      <c r="H22" s="5">
        <v>0</v>
      </c>
      <c r="I22" s="92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</row>
    <row r="23" spans="1:33" ht="33">
      <c r="A23" s="90" t="s">
        <v>44</v>
      </c>
      <c r="B23" s="22" t="s">
        <v>125</v>
      </c>
      <c r="C23" s="90">
        <v>3</v>
      </c>
      <c r="D23" s="90">
        <v>3</v>
      </c>
      <c r="E23" s="30">
        <v>5</v>
      </c>
      <c r="F23" s="111">
        <f>7/3</f>
        <v>2.3333333333333335</v>
      </c>
      <c r="G23" s="17" t="s">
        <v>81</v>
      </c>
      <c r="H23" s="5">
        <v>3</v>
      </c>
      <c r="I23" s="90">
        <v>2</v>
      </c>
      <c r="J23" s="39">
        <v>5.0789854673999999</v>
      </c>
      <c r="K23" s="39">
        <v>0.30906435306235691</v>
      </c>
      <c r="L23" s="39">
        <v>4.7777777777999999</v>
      </c>
      <c r="M23" s="39">
        <v>5.0638297872000004</v>
      </c>
      <c r="N23" s="39">
        <v>5.3953488372000002</v>
      </c>
      <c r="O23" s="39">
        <v>5.3953488372000002</v>
      </c>
      <c r="P23" s="39">
        <v>892.20100000000002</v>
      </c>
      <c r="Q23" s="39">
        <v>8.4275288786215139</v>
      </c>
      <c r="R23" s="39">
        <v>899.98299999999995</v>
      </c>
      <c r="S23" s="39">
        <v>893.37</v>
      </c>
      <c r="T23" s="39">
        <v>883.25</v>
      </c>
      <c r="U23" s="39">
        <v>883.25</v>
      </c>
      <c r="V23" s="39">
        <v>5.806462432900001</v>
      </c>
      <c r="W23" s="39">
        <v>0.57343555020691639</v>
      </c>
      <c r="X23" s="39">
        <v>5.3953488372000002</v>
      </c>
      <c r="Y23" s="39">
        <v>5.5625</v>
      </c>
      <c r="Z23" s="39">
        <v>6.4615384615</v>
      </c>
      <c r="AA23" s="39">
        <v>6.4615384615</v>
      </c>
      <c r="AB23" s="39">
        <v>869.61566666666658</v>
      </c>
      <c r="AC23" s="39">
        <v>20.533165521500411</v>
      </c>
      <c r="AD23" s="39">
        <v>883.25</v>
      </c>
      <c r="AE23" s="39">
        <v>879.59699999999998</v>
      </c>
      <c r="AF23" s="39">
        <v>846</v>
      </c>
      <c r="AG23" s="39">
        <v>846</v>
      </c>
    </row>
    <row r="24" spans="1:33" s="4" customFormat="1" ht="49.5">
      <c r="A24" s="92"/>
      <c r="B24" s="22" t="s">
        <v>127</v>
      </c>
      <c r="C24" s="92"/>
      <c r="D24" s="92"/>
      <c r="E24" s="30">
        <v>2</v>
      </c>
      <c r="F24" s="113"/>
      <c r="G24" s="17" t="s">
        <v>81</v>
      </c>
      <c r="H24" s="5">
        <v>0</v>
      </c>
      <c r="I24" s="92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</row>
    <row r="25" spans="1:33">
      <c r="A25" s="2" t="s">
        <v>51</v>
      </c>
      <c r="B25" s="17" t="s">
        <v>53</v>
      </c>
      <c r="C25" s="5">
        <v>1</v>
      </c>
      <c r="D25" s="5">
        <v>1</v>
      </c>
      <c r="E25" s="30">
        <v>10</v>
      </c>
      <c r="F25" s="32">
        <v>10</v>
      </c>
      <c r="G25" s="17" t="s">
        <v>81</v>
      </c>
      <c r="H25" s="5">
        <v>1</v>
      </c>
      <c r="I25" s="5">
        <v>0</v>
      </c>
      <c r="J25" s="39">
        <v>2.7619047618999999</v>
      </c>
      <c r="K25" s="39"/>
      <c r="L25" s="39">
        <v>2.7619047618999999</v>
      </c>
      <c r="M25" s="39">
        <v>2.7619047618999999</v>
      </c>
      <c r="N25" s="39">
        <v>2.7619047618999999</v>
      </c>
      <c r="O25" s="39">
        <v>2.7619047618999999</v>
      </c>
      <c r="P25" s="39">
        <v>947.14300000000003</v>
      </c>
      <c r="Q25" s="39"/>
      <c r="R25" s="39">
        <v>947.14300000000003</v>
      </c>
      <c r="S25" s="39">
        <v>947.14300000000003</v>
      </c>
      <c r="T25" s="39">
        <v>947.14300000000003</v>
      </c>
      <c r="U25" s="39">
        <v>947.14300000000003</v>
      </c>
      <c r="V25" s="39">
        <v>2.7619047618999999</v>
      </c>
      <c r="W25" s="39"/>
      <c r="X25" s="39">
        <v>2.7619047618999999</v>
      </c>
      <c r="Y25" s="39">
        <v>2.7619047618999999</v>
      </c>
      <c r="Z25" s="39">
        <v>2.7619047618999999</v>
      </c>
      <c r="AA25" s="39">
        <v>2.7619047618999999</v>
      </c>
      <c r="AB25" s="39">
        <v>947.14300000000003</v>
      </c>
      <c r="AC25" s="39"/>
      <c r="AD25" s="39">
        <v>947.14300000000003</v>
      </c>
      <c r="AE25" s="39">
        <v>947.14300000000003</v>
      </c>
      <c r="AF25" s="39">
        <v>947.14300000000003</v>
      </c>
      <c r="AG25" s="39">
        <v>947.14300000000003</v>
      </c>
    </row>
    <row r="26" spans="1:33">
      <c r="A26" s="90" t="s">
        <v>57</v>
      </c>
      <c r="B26" s="17" t="s">
        <v>58</v>
      </c>
      <c r="C26" s="90">
        <v>4</v>
      </c>
      <c r="D26" s="90">
        <v>4</v>
      </c>
      <c r="E26" s="30">
        <v>5</v>
      </c>
      <c r="F26" s="90">
        <f>13/4</f>
        <v>3.25</v>
      </c>
      <c r="G26" s="17" t="s">
        <v>81</v>
      </c>
      <c r="H26" s="5">
        <v>2</v>
      </c>
      <c r="I26" s="90">
        <v>2</v>
      </c>
      <c r="J26" s="39">
        <v>4.3714285714000001</v>
      </c>
      <c r="K26" s="39"/>
      <c r="L26" s="39">
        <v>4.3714285714000001</v>
      </c>
      <c r="M26" s="39">
        <v>4.3714285714000001</v>
      </c>
      <c r="N26" s="39">
        <v>4.3714285714000001</v>
      </c>
      <c r="O26" s="39">
        <v>4.3714285714000001</v>
      </c>
      <c r="P26" s="39">
        <v>898.85699999999997</v>
      </c>
      <c r="Q26" s="39"/>
      <c r="R26" s="39">
        <v>898.85699999999997</v>
      </c>
      <c r="S26" s="39">
        <v>898.85699999999997</v>
      </c>
      <c r="T26" s="39">
        <v>898.85699999999997</v>
      </c>
      <c r="U26" s="39">
        <v>898.85699999999997</v>
      </c>
      <c r="V26" s="39">
        <v>4.6965838508999997</v>
      </c>
      <c r="W26" s="39">
        <v>0.45983900614611461</v>
      </c>
      <c r="X26" s="39">
        <v>4.3714285714000001</v>
      </c>
      <c r="Y26" s="39">
        <v>4.3714285714000001</v>
      </c>
      <c r="Z26" s="39">
        <v>5.0217391304000003</v>
      </c>
      <c r="AA26" s="39">
        <v>5.0217391304000003</v>
      </c>
      <c r="AB26" s="39">
        <v>895.80349999999999</v>
      </c>
      <c r="AC26" s="39">
        <v>4.3183011127062247</v>
      </c>
      <c r="AD26" s="39">
        <v>898.85699999999997</v>
      </c>
      <c r="AE26" s="39">
        <v>898.85699999999997</v>
      </c>
      <c r="AF26" s="39">
        <v>892.75</v>
      </c>
      <c r="AG26" s="39">
        <v>892.75</v>
      </c>
    </row>
    <row r="27" spans="1:33">
      <c r="A27" s="91"/>
      <c r="B27" s="17" t="s">
        <v>59</v>
      </c>
      <c r="C27" s="91"/>
      <c r="D27" s="91"/>
      <c r="E27" s="30">
        <v>3</v>
      </c>
      <c r="F27" s="91"/>
      <c r="G27" s="17" t="s">
        <v>81</v>
      </c>
      <c r="H27" s="5">
        <v>1</v>
      </c>
      <c r="I27" s="91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>
        <v>5.0769230769</v>
      </c>
      <c r="W27" s="39"/>
      <c r="X27" s="39">
        <v>5.0769230769</v>
      </c>
      <c r="Y27" s="39">
        <v>5.0769230769</v>
      </c>
      <c r="Z27" s="39">
        <v>5.0769230769</v>
      </c>
      <c r="AA27" s="39">
        <v>5.0769230769</v>
      </c>
      <c r="AB27" s="39">
        <v>894.29300000000001</v>
      </c>
      <c r="AC27" s="39"/>
      <c r="AD27" s="39">
        <v>894.29300000000001</v>
      </c>
      <c r="AE27" s="39">
        <v>894.29300000000001</v>
      </c>
      <c r="AF27" s="39">
        <v>894.29300000000001</v>
      </c>
      <c r="AG27" s="39">
        <v>894.29300000000001</v>
      </c>
    </row>
    <row r="28" spans="1:33">
      <c r="A28" s="92"/>
      <c r="B28" s="17" t="s">
        <v>60</v>
      </c>
      <c r="C28" s="91"/>
      <c r="D28" s="91"/>
      <c r="E28" s="30">
        <v>1</v>
      </c>
      <c r="F28" s="91"/>
      <c r="G28" s="17" t="s">
        <v>81</v>
      </c>
      <c r="H28" s="5">
        <v>0</v>
      </c>
      <c r="I28" s="91"/>
      <c r="J28" s="39">
        <v>4.4583333332999997</v>
      </c>
      <c r="K28" s="39"/>
      <c r="L28" s="39">
        <v>4.4583333332999997</v>
      </c>
      <c r="M28" s="39">
        <v>4.4583333332999997</v>
      </c>
      <c r="N28" s="39">
        <v>4.4583333332999997</v>
      </c>
      <c r="O28" s="39">
        <v>4.4583333332999997</v>
      </c>
      <c r="P28" s="39">
        <v>906.72799999999995</v>
      </c>
      <c r="Q28" s="39"/>
      <c r="R28" s="39">
        <v>906.72799999999995</v>
      </c>
      <c r="S28" s="39">
        <v>906.72799999999995</v>
      </c>
      <c r="T28" s="39">
        <v>906.72799999999995</v>
      </c>
      <c r="U28" s="39">
        <v>906.72799999999995</v>
      </c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</row>
    <row r="29" spans="1:33">
      <c r="A29" s="2" t="s">
        <v>63</v>
      </c>
      <c r="B29" s="17" t="s">
        <v>64</v>
      </c>
      <c r="C29" s="91"/>
      <c r="D29" s="91"/>
      <c r="E29" s="30">
        <v>3</v>
      </c>
      <c r="F29" s="91"/>
      <c r="G29" s="17" t="s">
        <v>81</v>
      </c>
      <c r="H29" s="5">
        <v>1</v>
      </c>
      <c r="I29" s="91"/>
      <c r="J29" s="39">
        <v>4.5416666667000003</v>
      </c>
      <c r="K29" s="39"/>
      <c r="L29" s="39">
        <v>4.5416666667000003</v>
      </c>
      <c r="M29" s="39">
        <v>4.5416666667000003</v>
      </c>
      <c r="N29" s="39">
        <v>4.5416666667000003</v>
      </c>
      <c r="O29" s="39">
        <v>4.5416666667000003</v>
      </c>
      <c r="P29" s="39">
        <v>905.7</v>
      </c>
      <c r="Q29" s="39"/>
      <c r="R29" s="39">
        <v>905.7</v>
      </c>
      <c r="S29" s="39">
        <v>905.7</v>
      </c>
      <c r="T29" s="39">
        <v>905.7</v>
      </c>
      <c r="U29" s="39">
        <v>905.7</v>
      </c>
      <c r="V29" s="39">
        <v>4.5416666667000003</v>
      </c>
      <c r="W29" s="39"/>
      <c r="X29" s="39">
        <v>4.5416666667000003</v>
      </c>
      <c r="Y29" s="39">
        <v>4.5416666667000003</v>
      </c>
      <c r="Z29" s="39">
        <v>4.5416666667000003</v>
      </c>
      <c r="AA29" s="39">
        <v>4.5416666667000003</v>
      </c>
      <c r="AB29" s="39">
        <v>905.7</v>
      </c>
      <c r="AC29" s="39"/>
      <c r="AD29" s="39">
        <v>905.7</v>
      </c>
      <c r="AE29" s="39">
        <v>905.7</v>
      </c>
      <c r="AF29" s="39">
        <v>905.7</v>
      </c>
      <c r="AG29" s="39">
        <v>905.7</v>
      </c>
    </row>
    <row r="30" spans="1:33">
      <c r="A30" s="2" t="s">
        <v>65</v>
      </c>
      <c r="B30" s="17" t="s">
        <v>66</v>
      </c>
      <c r="C30" s="92"/>
      <c r="D30" s="92"/>
      <c r="E30" s="30">
        <v>1</v>
      </c>
      <c r="F30" s="92"/>
      <c r="G30" s="17" t="s">
        <v>81</v>
      </c>
      <c r="H30" s="5">
        <v>0</v>
      </c>
      <c r="I30" s="92"/>
      <c r="J30" s="39">
        <v>2.28125</v>
      </c>
      <c r="K30" s="39"/>
      <c r="L30" s="39">
        <v>2.28125</v>
      </c>
      <c r="M30" s="39">
        <v>2.28125</v>
      </c>
      <c r="N30" s="39">
        <v>2.28125</v>
      </c>
      <c r="O30" s="39">
        <v>2.28125</v>
      </c>
      <c r="P30" s="39">
        <v>965.40599999999995</v>
      </c>
      <c r="Q30" s="39"/>
      <c r="R30" s="39">
        <v>965.40599999999995</v>
      </c>
      <c r="S30" s="39">
        <v>965.40599999999995</v>
      </c>
      <c r="T30" s="39">
        <v>965.40599999999995</v>
      </c>
      <c r="U30" s="39">
        <v>965.40599999999995</v>
      </c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</row>
  </sheetData>
  <mergeCells count="46">
    <mergeCell ref="D26:D30"/>
    <mergeCell ref="F26:F30"/>
    <mergeCell ref="I9:I14"/>
    <mergeCell ref="I15:I18"/>
    <mergeCell ref="I19:I22"/>
    <mergeCell ref="I23:I24"/>
    <mergeCell ref="I26:I30"/>
    <mergeCell ref="D23:D24"/>
    <mergeCell ref="F9:F14"/>
    <mergeCell ref="F15:F18"/>
    <mergeCell ref="F19:F22"/>
    <mergeCell ref="F23:F24"/>
    <mergeCell ref="D15:D18"/>
    <mergeCell ref="D19:D22"/>
    <mergeCell ref="D9:D14"/>
    <mergeCell ref="AB2:AG2"/>
    <mergeCell ref="J1:U1"/>
    <mergeCell ref="V1:AG1"/>
    <mergeCell ref="P2:U2"/>
    <mergeCell ref="D4:D8"/>
    <mergeCell ref="I4:I8"/>
    <mergeCell ref="V2:AA2"/>
    <mergeCell ref="J2:O2"/>
    <mergeCell ref="F4:F8"/>
    <mergeCell ref="D1:I1"/>
    <mergeCell ref="D2:D3"/>
    <mergeCell ref="E2:E3"/>
    <mergeCell ref="F2:F3"/>
    <mergeCell ref="G2:G3"/>
    <mergeCell ref="H2:H3"/>
    <mergeCell ref="I2:I3"/>
    <mergeCell ref="A1:A3"/>
    <mergeCell ref="B1:B3"/>
    <mergeCell ref="C26:C30"/>
    <mergeCell ref="C4:C8"/>
    <mergeCell ref="C9:C14"/>
    <mergeCell ref="C23:C24"/>
    <mergeCell ref="C1:C3"/>
    <mergeCell ref="A4:A8"/>
    <mergeCell ref="C15:C18"/>
    <mergeCell ref="C19:C22"/>
    <mergeCell ref="A9:A14"/>
    <mergeCell ref="A15:A18"/>
    <mergeCell ref="A19:A22"/>
    <mergeCell ref="A23:A24"/>
    <mergeCell ref="A26:A28"/>
  </mergeCells>
  <phoneticPr fontId="7" type="noConversion"/>
  <conditionalFormatting sqref="G4:G30">
    <cfRule type="containsBlanks" dxfId="1" priority="1">
      <formula>LEN(TRIM(G4))=0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G17"/>
  <sheetViews>
    <sheetView zoomScale="85" zoomScaleNormal="85" workbookViewId="0">
      <pane xSplit="2" ySplit="3" topLeftCell="C4" activePane="bottomRight" state="frozen"/>
      <selection pane="topRight"/>
      <selection pane="bottomLeft"/>
      <selection pane="bottomRight" activeCell="O29" sqref="O29"/>
    </sheetView>
  </sheetViews>
  <sheetFormatPr defaultRowHeight="16.5"/>
  <cols>
    <col min="1" max="1" width="14" style="9" customWidth="1"/>
    <col min="2" max="2" width="32.5" style="15" customWidth="1"/>
    <col min="3" max="4" width="14.125" style="9" customWidth="1"/>
    <col min="5" max="5" width="14.125" style="15" customWidth="1"/>
    <col min="6" max="9" width="14.125" style="9" customWidth="1"/>
    <col min="10" max="33" width="11" style="9" customWidth="1"/>
    <col min="34" max="16384" width="9" style="9"/>
  </cols>
  <sheetData>
    <row r="1" spans="1:33">
      <c r="A1" s="63" t="s">
        <v>2</v>
      </c>
      <c r="B1" s="63" t="s">
        <v>3</v>
      </c>
      <c r="C1" s="49" t="s">
        <v>79</v>
      </c>
      <c r="D1" s="63" t="s">
        <v>78</v>
      </c>
      <c r="E1" s="63"/>
      <c r="F1" s="63"/>
      <c r="G1" s="63"/>
      <c r="H1" s="63"/>
      <c r="I1" s="63"/>
      <c r="J1" s="75" t="s">
        <v>113</v>
      </c>
      <c r="K1" s="76"/>
      <c r="L1" s="76"/>
      <c r="M1" s="76"/>
      <c r="N1" s="76"/>
      <c r="O1" s="76"/>
      <c r="P1" s="76"/>
      <c r="Q1" s="76"/>
      <c r="R1" s="76"/>
      <c r="S1" s="76"/>
      <c r="T1" s="76"/>
      <c r="U1" s="77"/>
      <c r="V1" s="75" t="s">
        <v>116</v>
      </c>
      <c r="W1" s="76"/>
      <c r="X1" s="76"/>
      <c r="Y1" s="76"/>
      <c r="Z1" s="76"/>
      <c r="AA1" s="76"/>
      <c r="AB1" s="76"/>
      <c r="AC1" s="76"/>
      <c r="AD1" s="76"/>
      <c r="AE1" s="76"/>
      <c r="AF1" s="76"/>
      <c r="AG1" s="77"/>
    </row>
    <row r="2" spans="1:33" ht="21.95" customHeight="1">
      <c r="A2" s="63"/>
      <c r="B2" s="63"/>
      <c r="C2" s="49"/>
      <c r="D2" s="63" t="s">
        <v>70</v>
      </c>
      <c r="E2" s="63" t="s">
        <v>71</v>
      </c>
      <c r="F2" s="63" t="s">
        <v>72</v>
      </c>
      <c r="G2" s="49" t="s">
        <v>73</v>
      </c>
      <c r="H2" s="49" t="s">
        <v>74</v>
      </c>
      <c r="I2" s="49" t="s">
        <v>75</v>
      </c>
      <c r="J2" s="87" t="s">
        <v>4</v>
      </c>
      <c r="K2" s="88"/>
      <c r="L2" s="88"/>
      <c r="M2" s="88"/>
      <c r="N2" s="88"/>
      <c r="O2" s="89"/>
      <c r="P2" s="75" t="s">
        <v>123</v>
      </c>
      <c r="Q2" s="76"/>
      <c r="R2" s="76"/>
      <c r="S2" s="76"/>
      <c r="T2" s="76"/>
      <c r="U2" s="77"/>
      <c r="V2" s="87" t="s">
        <v>4</v>
      </c>
      <c r="W2" s="88"/>
      <c r="X2" s="88"/>
      <c r="Y2" s="88"/>
      <c r="Z2" s="88"/>
      <c r="AA2" s="89"/>
      <c r="AB2" s="75" t="s">
        <v>123</v>
      </c>
      <c r="AC2" s="76"/>
      <c r="AD2" s="76"/>
      <c r="AE2" s="76"/>
      <c r="AF2" s="76"/>
      <c r="AG2" s="77"/>
    </row>
    <row r="3" spans="1:33" ht="21.95" customHeight="1">
      <c r="A3" s="63"/>
      <c r="B3" s="63"/>
      <c r="C3" s="49"/>
      <c r="D3" s="63"/>
      <c r="E3" s="63"/>
      <c r="F3" s="63"/>
      <c r="G3" s="49"/>
      <c r="H3" s="49"/>
      <c r="I3" s="49"/>
      <c r="J3" s="10" t="s">
        <v>6</v>
      </c>
      <c r="K3" s="10" t="s">
        <v>7</v>
      </c>
      <c r="L3" s="10" t="s">
        <v>10</v>
      </c>
      <c r="M3" s="10" t="s">
        <v>8</v>
      </c>
      <c r="N3" s="10" t="s">
        <v>9</v>
      </c>
      <c r="O3" s="10" t="s">
        <v>11</v>
      </c>
      <c r="P3" s="10" t="s">
        <v>6</v>
      </c>
      <c r="Q3" s="10" t="s">
        <v>7</v>
      </c>
      <c r="R3" s="10" t="s">
        <v>12</v>
      </c>
      <c r="S3" s="10" t="s">
        <v>8</v>
      </c>
      <c r="T3" s="10" t="s">
        <v>9</v>
      </c>
      <c r="U3" s="10" t="s">
        <v>13</v>
      </c>
      <c r="V3" s="10" t="s">
        <v>6</v>
      </c>
      <c r="W3" s="10" t="s">
        <v>7</v>
      </c>
      <c r="X3" s="10" t="s">
        <v>10</v>
      </c>
      <c r="Y3" s="10" t="s">
        <v>8</v>
      </c>
      <c r="Z3" s="10" t="s">
        <v>9</v>
      </c>
      <c r="AA3" s="10" t="s">
        <v>11</v>
      </c>
      <c r="AB3" s="10" t="s">
        <v>6</v>
      </c>
      <c r="AC3" s="10" t="s">
        <v>7</v>
      </c>
      <c r="AD3" s="10" t="s">
        <v>12</v>
      </c>
      <c r="AE3" s="10" t="s">
        <v>8</v>
      </c>
      <c r="AF3" s="10" t="s">
        <v>9</v>
      </c>
      <c r="AG3" s="10" t="s">
        <v>13</v>
      </c>
    </row>
    <row r="4" spans="1:33" ht="17.25" customHeight="1">
      <c r="A4" s="103" t="s">
        <v>14</v>
      </c>
      <c r="B4" s="26" t="s">
        <v>103</v>
      </c>
      <c r="C4" s="118">
        <v>3</v>
      </c>
      <c r="D4" s="66">
        <v>5</v>
      </c>
      <c r="E4" s="18">
        <v>2</v>
      </c>
      <c r="F4" s="115">
        <f>33/5</f>
        <v>6.6</v>
      </c>
      <c r="G4" s="17" t="s">
        <v>81</v>
      </c>
      <c r="H4" s="19">
        <v>2</v>
      </c>
      <c r="I4" s="118">
        <v>8</v>
      </c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5">
        <v>7.2076000000000002</v>
      </c>
      <c r="W4" s="46">
        <v>0.81314142721862859</v>
      </c>
      <c r="X4" s="48">
        <v>6.6326530612000001</v>
      </c>
      <c r="Y4" s="46">
        <v>6.6326530612000001</v>
      </c>
      <c r="Z4" s="46">
        <v>7.7826086956999996</v>
      </c>
      <c r="AA4" s="48">
        <v>7.7826086956999996</v>
      </c>
      <c r="AB4" s="44">
        <v>1320.42</v>
      </c>
      <c r="AC4" s="46">
        <v>88.447744617938156</v>
      </c>
      <c r="AD4" s="47">
        <v>1382.96</v>
      </c>
      <c r="AE4" s="43">
        <v>1382.96</v>
      </c>
      <c r="AF4" s="43">
        <v>1257.8800000000001</v>
      </c>
      <c r="AG4" s="47">
        <v>1257.8800000000001</v>
      </c>
    </row>
    <row r="5" spans="1:33" ht="17.25" customHeight="1">
      <c r="A5" s="103"/>
      <c r="B5" s="14" t="s">
        <v>99</v>
      </c>
      <c r="C5" s="118"/>
      <c r="D5" s="66"/>
      <c r="E5" s="7">
        <v>1</v>
      </c>
      <c r="F5" s="115"/>
      <c r="G5" s="17" t="s">
        <v>81</v>
      </c>
      <c r="H5" s="12"/>
      <c r="I5" s="118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</row>
    <row r="6" spans="1:33">
      <c r="A6" s="97"/>
      <c r="B6" s="23" t="s">
        <v>20</v>
      </c>
      <c r="C6" s="118"/>
      <c r="D6" s="66"/>
      <c r="E6" s="7">
        <v>2</v>
      </c>
      <c r="F6" s="115"/>
      <c r="G6" s="17" t="s">
        <v>81</v>
      </c>
      <c r="H6" s="7"/>
      <c r="I6" s="118"/>
      <c r="J6" s="24">
        <v>6.2291666667000003</v>
      </c>
      <c r="K6" s="8"/>
      <c r="L6" s="24">
        <v>6.2291666667000003</v>
      </c>
      <c r="M6" s="24">
        <v>6.2291666667000003</v>
      </c>
      <c r="N6" s="24">
        <v>6.2291666667000003</v>
      </c>
      <c r="O6" s="24">
        <v>6.2291666667000003</v>
      </c>
      <c r="P6" s="24">
        <v>1444.345</v>
      </c>
      <c r="Q6" s="24"/>
      <c r="R6" s="24">
        <v>1444.345</v>
      </c>
      <c r="S6" s="24">
        <v>1444.345</v>
      </c>
      <c r="T6" s="24">
        <v>1444.345</v>
      </c>
      <c r="U6" s="24">
        <v>1444.345</v>
      </c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</row>
    <row r="7" spans="1:33">
      <c r="A7" s="119" t="s">
        <v>22</v>
      </c>
      <c r="B7" s="23" t="s">
        <v>104</v>
      </c>
      <c r="C7" s="118"/>
      <c r="D7" s="66"/>
      <c r="E7" s="7">
        <v>2</v>
      </c>
      <c r="F7" s="115"/>
      <c r="G7" s="17" t="s">
        <v>81</v>
      </c>
      <c r="H7" s="7"/>
      <c r="I7" s="118"/>
      <c r="J7" s="24"/>
      <c r="K7" s="8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</row>
    <row r="8" spans="1:33">
      <c r="A8" s="50"/>
      <c r="B8" s="23" t="s">
        <v>29</v>
      </c>
      <c r="C8" s="118"/>
      <c r="D8" s="66"/>
      <c r="E8" s="7">
        <v>1</v>
      </c>
      <c r="F8" s="115"/>
      <c r="G8" s="17" t="s">
        <v>81</v>
      </c>
      <c r="H8" s="7">
        <v>1</v>
      </c>
      <c r="I8" s="118"/>
      <c r="J8" s="24">
        <v>2.6</v>
      </c>
      <c r="K8" s="8"/>
      <c r="L8" s="24">
        <v>2.6</v>
      </c>
      <c r="M8" s="24">
        <v>2.6</v>
      </c>
      <c r="N8" s="24">
        <v>2.6</v>
      </c>
      <c r="O8" s="24">
        <v>2.6</v>
      </c>
      <c r="P8" s="24">
        <v>1467.432</v>
      </c>
      <c r="Q8" s="24"/>
      <c r="R8" s="24">
        <v>1467.432</v>
      </c>
      <c r="S8" s="24">
        <v>1467.432</v>
      </c>
      <c r="T8" s="24">
        <v>1467.432</v>
      </c>
      <c r="U8" s="24">
        <v>1467.432</v>
      </c>
      <c r="V8" s="24">
        <v>2.6</v>
      </c>
      <c r="W8" s="24"/>
      <c r="X8" s="24">
        <v>2.6</v>
      </c>
      <c r="Y8" s="24">
        <v>2.6</v>
      </c>
      <c r="Z8" s="24">
        <v>2.6</v>
      </c>
      <c r="AA8" s="24">
        <v>2.6</v>
      </c>
      <c r="AB8" s="24">
        <v>1467.432</v>
      </c>
      <c r="AC8" s="24"/>
      <c r="AD8" s="24">
        <v>1467.432</v>
      </c>
      <c r="AE8" s="24">
        <v>1467.432</v>
      </c>
      <c r="AF8" s="24">
        <v>1467.432</v>
      </c>
      <c r="AG8" s="24">
        <v>1467.432</v>
      </c>
    </row>
    <row r="9" spans="1:33">
      <c r="A9" s="51"/>
      <c r="B9" s="23" t="s">
        <v>84</v>
      </c>
      <c r="C9" s="118"/>
      <c r="D9" s="66"/>
      <c r="E9" s="7">
        <v>3</v>
      </c>
      <c r="F9" s="115"/>
      <c r="G9" s="17" t="s">
        <v>81</v>
      </c>
      <c r="H9" s="7"/>
      <c r="I9" s="118"/>
      <c r="J9" s="24"/>
      <c r="K9" s="8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</row>
    <row r="10" spans="1:33">
      <c r="A10" s="13" t="s">
        <v>106</v>
      </c>
      <c r="B10" s="23" t="s">
        <v>105</v>
      </c>
      <c r="C10" s="99"/>
      <c r="D10" s="66"/>
      <c r="E10" s="7">
        <v>1</v>
      </c>
      <c r="F10" s="115"/>
      <c r="G10" s="17" t="s">
        <v>81</v>
      </c>
      <c r="H10" s="7"/>
      <c r="I10" s="118"/>
      <c r="J10" s="24"/>
      <c r="K10" s="8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</row>
    <row r="11" spans="1:33">
      <c r="A11" s="64" t="s">
        <v>51</v>
      </c>
      <c r="B11" s="23" t="s">
        <v>54</v>
      </c>
      <c r="C11" s="64">
        <v>2</v>
      </c>
      <c r="D11" s="66"/>
      <c r="E11" s="7">
        <v>13</v>
      </c>
      <c r="F11" s="115"/>
      <c r="G11" s="17" t="s">
        <v>81</v>
      </c>
      <c r="H11" s="7">
        <v>1</v>
      </c>
      <c r="I11" s="118"/>
      <c r="J11" s="24">
        <v>6.3695652173999999</v>
      </c>
      <c r="K11" s="8"/>
      <c r="L11" s="24">
        <v>6.3695652173999999</v>
      </c>
      <c r="M11" s="24">
        <v>6.3695652173999999</v>
      </c>
      <c r="N11" s="24">
        <v>6.3695652173999999</v>
      </c>
      <c r="O11" s="24">
        <v>6.3695652173999999</v>
      </c>
      <c r="P11" s="24">
        <v>1450.5</v>
      </c>
      <c r="Q11" s="24"/>
      <c r="R11" s="24">
        <v>1450.5</v>
      </c>
      <c r="S11" s="24">
        <v>1450.5</v>
      </c>
      <c r="T11" s="24">
        <v>1450.5</v>
      </c>
      <c r="U11" s="24">
        <v>1450.5</v>
      </c>
      <c r="V11" s="24">
        <v>7.1590909090999997</v>
      </c>
      <c r="W11" s="24"/>
      <c r="X11" s="24">
        <v>7.1590909090999997</v>
      </c>
      <c r="Y11" s="24">
        <v>7.1590909090999997</v>
      </c>
      <c r="Z11" s="24">
        <v>7.1590909090999997</v>
      </c>
      <c r="AA11" s="24">
        <v>7.1590909090999997</v>
      </c>
      <c r="AB11" s="24">
        <v>1376.087</v>
      </c>
      <c r="AC11" s="24"/>
      <c r="AD11" s="24">
        <v>1376.087</v>
      </c>
      <c r="AE11" s="24">
        <v>1376.087</v>
      </c>
      <c r="AF11" s="24">
        <v>1376.087</v>
      </c>
      <c r="AG11" s="24">
        <v>1376.087</v>
      </c>
    </row>
    <row r="12" spans="1:33">
      <c r="A12" s="65"/>
      <c r="B12" s="23" t="s">
        <v>107</v>
      </c>
      <c r="C12" s="66"/>
      <c r="D12" s="66"/>
      <c r="E12" s="7">
        <v>2</v>
      </c>
      <c r="F12" s="115"/>
      <c r="G12" s="17" t="s">
        <v>81</v>
      </c>
      <c r="H12" s="7">
        <v>2</v>
      </c>
      <c r="I12" s="118"/>
      <c r="J12" s="24"/>
      <c r="K12" s="8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41">
        <f>AVERAGE(V10:V11)</f>
        <v>7.1590909090999997</v>
      </c>
      <c r="W12" s="24">
        <v>6.1746469785984713E-2</v>
      </c>
      <c r="X12" s="24">
        <v>6.8085106382999996</v>
      </c>
      <c r="Y12" s="24">
        <v>6.8085106382999996</v>
      </c>
      <c r="Z12" s="24">
        <v>6.8958333332999997</v>
      </c>
      <c r="AA12" s="24">
        <v>6.8958333332999997</v>
      </c>
      <c r="AB12" s="24">
        <v>1409.8225000000002</v>
      </c>
      <c r="AC12" s="24">
        <v>13.244817118405217</v>
      </c>
      <c r="AD12" s="24">
        <v>1419.1880000000001</v>
      </c>
      <c r="AE12" s="24">
        <v>1419.1880000000001</v>
      </c>
      <c r="AF12" s="24">
        <v>1400.4570000000001</v>
      </c>
      <c r="AG12" s="24">
        <v>1400.4570000000001</v>
      </c>
    </row>
    <row r="13" spans="1:33">
      <c r="A13" s="64" t="s">
        <v>57</v>
      </c>
      <c r="B13" s="23" t="s">
        <v>59</v>
      </c>
      <c r="C13" s="66"/>
      <c r="D13" s="66"/>
      <c r="E13" s="7">
        <v>1</v>
      </c>
      <c r="F13" s="115"/>
      <c r="G13" s="17" t="s">
        <v>81</v>
      </c>
      <c r="H13" s="7"/>
      <c r="I13" s="118"/>
      <c r="J13" s="24">
        <v>4</v>
      </c>
      <c r="K13" s="8"/>
      <c r="L13" s="24">
        <v>4</v>
      </c>
      <c r="M13" s="24">
        <v>4</v>
      </c>
      <c r="N13" s="24">
        <v>4</v>
      </c>
      <c r="O13" s="24">
        <v>4</v>
      </c>
      <c r="P13" s="24">
        <v>1510.2670000000001</v>
      </c>
      <c r="Q13" s="24"/>
      <c r="R13" s="24">
        <v>1510.2670000000001</v>
      </c>
      <c r="S13" s="24">
        <v>1510.2670000000001</v>
      </c>
      <c r="T13" s="24">
        <v>1510.2670000000001</v>
      </c>
      <c r="U13" s="24">
        <v>1510.2670000000001</v>
      </c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</row>
    <row r="14" spans="1:33">
      <c r="A14" s="66"/>
      <c r="B14" s="23" t="s">
        <v>88</v>
      </c>
      <c r="C14" s="66"/>
      <c r="D14" s="66"/>
      <c r="E14" s="7">
        <v>1</v>
      </c>
      <c r="F14" s="115"/>
      <c r="G14" s="17" t="s">
        <v>81</v>
      </c>
      <c r="H14" s="7"/>
      <c r="I14" s="118"/>
      <c r="J14" s="24"/>
      <c r="K14" s="8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</row>
    <row r="15" spans="1:33">
      <c r="A15" s="65"/>
      <c r="B15" s="23" t="s">
        <v>108</v>
      </c>
      <c r="C15" s="66"/>
      <c r="D15" s="66"/>
      <c r="E15" s="7">
        <v>1</v>
      </c>
      <c r="F15" s="115"/>
      <c r="G15" s="17" t="s">
        <v>81</v>
      </c>
      <c r="H15" s="7"/>
      <c r="I15" s="118"/>
      <c r="J15" s="24"/>
      <c r="K15" s="8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</row>
    <row r="16" spans="1:33">
      <c r="A16" s="7" t="s">
        <v>63</v>
      </c>
      <c r="B16" s="23" t="s">
        <v>64</v>
      </c>
      <c r="C16" s="66"/>
      <c r="D16" s="66"/>
      <c r="E16" s="7">
        <v>2</v>
      </c>
      <c r="F16" s="115"/>
      <c r="G16" s="17" t="s">
        <v>81</v>
      </c>
      <c r="H16" s="7"/>
      <c r="I16" s="118"/>
      <c r="J16" s="24">
        <v>6.4489795917999997</v>
      </c>
      <c r="K16" s="8"/>
      <c r="L16" s="24">
        <v>6.4489795917999997</v>
      </c>
      <c r="M16" s="24">
        <v>6.4489795917999997</v>
      </c>
      <c r="N16" s="24">
        <v>6.4489795917999997</v>
      </c>
      <c r="O16" s="24">
        <v>6.4489795917999997</v>
      </c>
      <c r="P16" s="24">
        <v>1443.3389999999999</v>
      </c>
      <c r="Q16" s="24"/>
      <c r="R16" s="24">
        <v>1443.3389999999999</v>
      </c>
      <c r="S16" s="24">
        <v>1443.3389999999999</v>
      </c>
      <c r="T16" s="24">
        <v>1443.3389999999999</v>
      </c>
      <c r="U16" s="24">
        <v>1443.3389999999999</v>
      </c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</row>
    <row r="17" spans="1:33">
      <c r="A17" s="11" t="s">
        <v>89</v>
      </c>
      <c r="B17" s="23" t="s">
        <v>90</v>
      </c>
      <c r="C17" s="65"/>
      <c r="D17" s="65"/>
      <c r="E17" s="14">
        <v>1</v>
      </c>
      <c r="F17" s="116"/>
      <c r="G17" s="17" t="s">
        <v>81</v>
      </c>
      <c r="H17" s="14"/>
      <c r="I17" s="99"/>
      <c r="J17" s="40"/>
      <c r="K17" s="11"/>
      <c r="L17" s="40"/>
      <c r="M17" s="24"/>
      <c r="N17" s="24"/>
      <c r="O17" s="40"/>
      <c r="P17" s="40"/>
      <c r="Q17" s="40"/>
      <c r="R17" s="40"/>
      <c r="S17" s="24"/>
      <c r="T17" s="24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</row>
  </sheetData>
  <mergeCells count="25">
    <mergeCell ref="A1:A3"/>
    <mergeCell ref="B1:B3"/>
    <mergeCell ref="V1:AG1"/>
    <mergeCell ref="F4:F17"/>
    <mergeCell ref="I4:I17"/>
    <mergeCell ref="A4:A6"/>
    <mergeCell ref="A7:A9"/>
    <mergeCell ref="A13:A15"/>
    <mergeCell ref="A11:A12"/>
    <mergeCell ref="D4:D17"/>
    <mergeCell ref="C4:C10"/>
    <mergeCell ref="C11:C17"/>
    <mergeCell ref="J1:U1"/>
    <mergeCell ref="P2:U2"/>
    <mergeCell ref="C1:C3"/>
    <mergeCell ref="D1:I1"/>
    <mergeCell ref="I2:I3"/>
    <mergeCell ref="V2:AA2"/>
    <mergeCell ref="J2:O2"/>
    <mergeCell ref="AB2:AG2"/>
    <mergeCell ref="D2:D3"/>
    <mergeCell ref="E2:E3"/>
    <mergeCell ref="F2:F3"/>
    <mergeCell ref="G2:G3"/>
    <mergeCell ref="H2:H3"/>
  </mergeCells>
  <phoneticPr fontId="7" type="noConversion"/>
  <conditionalFormatting sqref="G4:G17">
    <cfRule type="containsBlanks" dxfId="0" priority="1">
      <formula>LEN(TRIM(G4))=0</formula>
    </cfRule>
  </conditionalFormatting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미래인재서류</vt:lpstr>
      <vt:lpstr>미래인재면접</vt:lpstr>
      <vt:lpstr>지역인재서류</vt:lpstr>
      <vt:lpstr>기회균형</vt:lpstr>
      <vt:lpstr>기회균형면접</vt:lpstr>
      <vt:lpstr>일반교과</vt:lpstr>
      <vt:lpstr>지역교과</vt:lpstr>
      <vt:lpstr>저소득-지역교과</vt:lpstr>
      <vt:lpstr>실기</vt:lpstr>
      <vt:lpstr>종합_농어촌학생</vt:lpstr>
      <vt:lpstr>교과_농어촌학생</vt:lpstr>
      <vt:lpstr>특성화고교졸업자(특성화고)</vt:lpstr>
      <vt:lpstr>저소득(교과)</vt:lpstr>
      <vt:lpstr>특수교육대상자(특수교육대상)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owner</cp:lastModifiedBy>
  <cp:lastPrinted>2026-04-15T07:03:45Z</cp:lastPrinted>
  <dcterms:created xsi:type="dcterms:W3CDTF">2026-04-10T04:34:50Z</dcterms:created>
  <dcterms:modified xsi:type="dcterms:W3CDTF">2026-05-12T07:37:15Z</dcterms:modified>
</cp:coreProperties>
</file>